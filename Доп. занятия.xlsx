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sform" sheetId="1" r:id="rId5"/>
    <sheet state="visible" name="current" sheetId="2" r:id="rId6"/>
    <sheet state="visible" name="payments" sheetId="3" r:id="rId7"/>
    <sheet state="visible" name="lists" sheetId="4" r:id="rId8"/>
  </sheets>
  <definedNames/>
  <calcPr/>
</workbook>
</file>

<file path=xl/sharedStrings.xml><?xml version="1.0" encoding="utf-8"?>
<sst xmlns="http://schemas.openxmlformats.org/spreadsheetml/2006/main" count="799" uniqueCount="37">
  <si>
    <t>Позначка часу</t>
  </si>
  <si>
    <t>Дата</t>
  </si>
  <si>
    <t>Занятие</t>
  </si>
  <si>
    <t>Статус</t>
  </si>
  <si>
    <t>Комментарий</t>
  </si>
  <si>
    <t>Кто</t>
  </si>
  <si>
    <t>Гимнастика</t>
  </si>
  <si>
    <t>проведено</t>
  </si>
  <si>
    <t>Демид</t>
  </si>
  <si>
    <t>Логопед</t>
  </si>
  <si>
    <t>перенесено</t>
  </si>
  <si>
    <t>подарочное занятие</t>
  </si>
  <si>
    <t>пропущено</t>
  </si>
  <si>
    <t>был у бабули</t>
  </si>
  <si>
    <t>Тренажор</t>
  </si>
  <si>
    <t>Егор</t>
  </si>
  <si>
    <t>Психолог</t>
  </si>
  <si>
    <t>Английский</t>
  </si>
  <si>
    <t xml:space="preserve">перенесла на пятницу </t>
  </si>
  <si>
    <t>отмненео</t>
  </si>
  <si>
    <t>упал шахед, отменили занятие</t>
  </si>
  <si>
    <t>плохая связь у неё</t>
  </si>
  <si>
    <t>поехал к бабуле</t>
  </si>
  <si>
    <t>заболел тренер</t>
  </si>
  <si>
    <t>заболел</t>
  </si>
  <si>
    <t>Заболела</t>
  </si>
  <si>
    <t>ездили на концерт</t>
  </si>
  <si>
    <t>разногласия с подсчётом оплаченных занятий, просто закрываю 2 непроведенных</t>
  </si>
  <si>
    <t>приболел, сопли</t>
  </si>
  <si>
    <t>Оплачено</t>
  </si>
  <si>
    <t>Прошло</t>
  </si>
  <si>
    <t>Осталось</t>
  </si>
  <si>
    <t>Цена/занятие</t>
  </si>
  <si>
    <t>Когда оплата</t>
  </si>
  <si>
    <t>Количество занятий</t>
  </si>
  <si>
    <t>Сумма</t>
  </si>
  <si>
    <t>отменено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</si>
</sst>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3">
    <tableStyle count="4" pivot="0" name="visitsfo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t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payment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3" displayName="Form_Responses" name="Form_Responses" id="1">
  <tableColumns count="6">
    <tableColumn name="Позначка часу" id="1"/>
    <tableColumn name="Дата" id="2"/>
    <tableColumn name="Занятие" id="3"/>
    <tableColumn name="Статус" id="4"/>
    <tableColumn name="Комментарий" id="5"/>
    <tableColumn name="Кто" id="6"/>
  </tableColumns>
  <tableStyleInfo name="visitsform-style" showColumnStripes="0" showFirstColumn="1" showLastColumn="1" showRowStripes="1"/>
</table>
</file>

<file path=xl/tables/table2.xml><?xml version="1.0" encoding="utf-8"?>
<table xmlns="http://schemas.openxmlformats.org/spreadsheetml/2006/main" ref="A1:G15" displayName="Table1" name="Table1" id="2">
  <tableColumns count="7">
    <tableColumn name="Кто" id="1"/>
    <tableColumn name="Занятие" id="2"/>
    <tableColumn name="Оплачено" id="3"/>
    <tableColumn name="Прошло" id="4"/>
    <tableColumn name="Осталось" id="5"/>
    <tableColumn name="Цена/занятие" id="6"/>
    <tableColumn name="Когда оплата" id="7"/>
  </tableColumns>
  <tableStyleInfo name="current-style" showColumnStripes="0" showFirstColumn="1" showLastColumn="1" showRowStripes="1"/>
</table>
</file>

<file path=xl/tables/table3.xml><?xml version="1.0" encoding="utf-8"?>
<table xmlns="http://schemas.openxmlformats.org/spreadsheetml/2006/main" ref="A1:F115" displayName="Table2" name="Table2" id="3">
  <tableColumns count="6">
    <tableColumn name="Дата" id="1"/>
    <tableColumn name="Кто" id="2"/>
    <tableColumn name="Занятие" id="3"/>
    <tableColumn name="Количество занятий" id="4"/>
    <tableColumn name="Сумма" id="5"/>
    <tableColumn name="Комментарий" id="6"/>
  </tableColumns>
  <tableStyleInfo name="pay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1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/>
      <c r="B2" s="4"/>
      <c r="C2" s="5"/>
      <c r="D2" s="5"/>
      <c r="E2" s="5"/>
      <c r="F2" s="5"/>
    </row>
    <row r="3" ht="22.5" customHeight="1">
      <c r="A3" s="6">
        <v>46015.719374583336</v>
      </c>
      <c r="B3" s="7">
        <v>45988.0</v>
      </c>
      <c r="C3" s="8" t="s">
        <v>6</v>
      </c>
      <c r="D3" s="8" t="s">
        <v>7</v>
      </c>
      <c r="F3" s="8" t="s">
        <v>8</v>
      </c>
    </row>
    <row r="4" ht="22.5" customHeight="1">
      <c r="A4" s="6">
        <v>46015.71963087963</v>
      </c>
      <c r="B4" s="7">
        <v>45988.0</v>
      </c>
      <c r="C4" s="8" t="s">
        <v>9</v>
      </c>
      <c r="D4" s="8" t="s">
        <v>7</v>
      </c>
      <c r="F4" s="8" t="s">
        <v>8</v>
      </c>
    </row>
    <row r="5" ht="22.5" customHeight="1">
      <c r="A5" s="6">
        <v>46015.7198784838</v>
      </c>
      <c r="B5" s="7">
        <v>45990.0</v>
      </c>
      <c r="C5" s="8" t="s">
        <v>6</v>
      </c>
      <c r="D5" s="8" t="s">
        <v>7</v>
      </c>
      <c r="F5" s="8" t="s">
        <v>8</v>
      </c>
    </row>
    <row r="6" ht="22.5" customHeight="1">
      <c r="A6" s="6">
        <v>46015.72023061343</v>
      </c>
      <c r="B6" s="7">
        <v>45993.0</v>
      </c>
      <c r="C6" s="8" t="s">
        <v>9</v>
      </c>
      <c r="D6" s="8" t="s">
        <v>7</v>
      </c>
      <c r="F6" s="8" t="s">
        <v>8</v>
      </c>
    </row>
    <row r="7" ht="22.5" customHeight="1">
      <c r="A7" s="6">
        <v>46015.72040225695</v>
      </c>
      <c r="B7" s="7">
        <v>45993.0</v>
      </c>
      <c r="C7" s="8" t="s">
        <v>6</v>
      </c>
      <c r="D7" s="8" t="s">
        <v>7</v>
      </c>
      <c r="F7" s="8" t="s">
        <v>8</v>
      </c>
    </row>
    <row r="8" ht="22.5" customHeight="1">
      <c r="A8" s="6">
        <v>46015.72074076389</v>
      </c>
      <c r="B8" s="7">
        <v>45995.0</v>
      </c>
      <c r="C8" s="8" t="s">
        <v>9</v>
      </c>
      <c r="D8" s="8" t="s">
        <v>7</v>
      </c>
      <c r="F8" s="8" t="s">
        <v>8</v>
      </c>
    </row>
    <row r="9" ht="22.5" customHeight="1">
      <c r="A9" s="6">
        <v>46015.72090722222</v>
      </c>
      <c r="B9" s="7">
        <v>45995.0</v>
      </c>
      <c r="C9" s="8" t="s">
        <v>6</v>
      </c>
      <c r="D9" s="8" t="s">
        <v>7</v>
      </c>
      <c r="F9" s="8" t="s">
        <v>8</v>
      </c>
    </row>
    <row r="10" ht="22.5" customHeight="1">
      <c r="A10" s="6">
        <v>46015.721145601856</v>
      </c>
      <c r="B10" s="7">
        <v>45997.0</v>
      </c>
      <c r="C10" s="8" t="s">
        <v>6</v>
      </c>
      <c r="D10" s="8" t="s">
        <v>7</v>
      </c>
      <c r="F10" s="8" t="s">
        <v>8</v>
      </c>
    </row>
    <row r="11" ht="22.5" customHeight="1">
      <c r="A11" s="6">
        <v>46015.721474872684</v>
      </c>
      <c r="B11" s="7">
        <v>46000.0</v>
      </c>
      <c r="C11" s="8" t="s">
        <v>9</v>
      </c>
      <c r="D11" s="8" t="s">
        <v>7</v>
      </c>
      <c r="F11" s="8" t="s">
        <v>8</v>
      </c>
    </row>
    <row r="12" ht="22.5" customHeight="1">
      <c r="A12" s="6">
        <v>46015.7216750463</v>
      </c>
      <c r="B12" s="7">
        <v>46000.0</v>
      </c>
      <c r="C12" s="8" t="s">
        <v>6</v>
      </c>
      <c r="D12" s="8" t="s">
        <v>7</v>
      </c>
      <c r="F12" s="8" t="s">
        <v>8</v>
      </c>
    </row>
    <row r="13" ht="22.5" customHeight="1">
      <c r="A13" s="6">
        <v>46015.723672673616</v>
      </c>
      <c r="B13" s="7">
        <v>46002.0</v>
      </c>
      <c r="C13" s="8" t="s">
        <v>9</v>
      </c>
      <c r="D13" s="8" t="s">
        <v>7</v>
      </c>
      <c r="F13" s="8" t="s">
        <v>8</v>
      </c>
    </row>
    <row r="14" ht="22.5" customHeight="1">
      <c r="A14" s="6">
        <v>46015.723825381945</v>
      </c>
      <c r="B14" s="7">
        <v>46002.0</v>
      </c>
      <c r="C14" s="8" t="s">
        <v>6</v>
      </c>
      <c r="D14" s="8" t="s">
        <v>7</v>
      </c>
      <c r="F14" s="8" t="s">
        <v>8</v>
      </c>
    </row>
    <row r="15" ht="22.5" customHeight="1">
      <c r="A15" s="6">
        <v>46015.72431854167</v>
      </c>
      <c r="B15" s="7">
        <v>46004.0</v>
      </c>
      <c r="C15" s="8" t="s">
        <v>6</v>
      </c>
      <c r="D15" s="8" t="s">
        <v>10</v>
      </c>
      <c r="E15" s="8" t="s">
        <v>11</v>
      </c>
      <c r="F15" s="8" t="s">
        <v>8</v>
      </c>
    </row>
    <row r="16" ht="22.5" customHeight="1">
      <c r="A16" s="6">
        <v>46015.72459197917</v>
      </c>
      <c r="B16" s="7">
        <v>46007.0</v>
      </c>
      <c r="C16" s="8" t="s">
        <v>9</v>
      </c>
      <c r="D16" s="8" t="s">
        <v>7</v>
      </c>
      <c r="F16" s="8" t="s">
        <v>8</v>
      </c>
    </row>
    <row r="17" ht="22.5" customHeight="1">
      <c r="A17" s="6">
        <v>46015.72473321759</v>
      </c>
      <c r="B17" s="7">
        <v>46007.0</v>
      </c>
      <c r="C17" s="8" t="s">
        <v>6</v>
      </c>
      <c r="D17" s="8" t="s">
        <v>7</v>
      </c>
      <c r="F17" s="8" t="s">
        <v>8</v>
      </c>
    </row>
    <row r="18" ht="22.5" customHeight="1">
      <c r="A18" s="6">
        <v>46015.72494876158</v>
      </c>
      <c r="B18" s="7">
        <v>46009.0</v>
      </c>
      <c r="C18" s="8" t="s">
        <v>9</v>
      </c>
      <c r="D18" s="8" t="s">
        <v>7</v>
      </c>
      <c r="F18" s="8" t="s">
        <v>8</v>
      </c>
    </row>
    <row r="19" ht="22.5" customHeight="1">
      <c r="A19" s="6">
        <v>46015.72513019676</v>
      </c>
      <c r="B19" s="7">
        <v>46009.0</v>
      </c>
      <c r="C19" s="8" t="s">
        <v>6</v>
      </c>
      <c r="D19" s="8" t="s">
        <v>7</v>
      </c>
      <c r="F19" s="8" t="s">
        <v>8</v>
      </c>
    </row>
    <row r="20" ht="22.5" customHeight="1">
      <c r="A20" s="6">
        <v>46015.72553365741</v>
      </c>
      <c r="B20" s="7">
        <v>46011.0</v>
      </c>
      <c r="C20" s="8" t="s">
        <v>6</v>
      </c>
      <c r="D20" s="8" t="s">
        <v>12</v>
      </c>
      <c r="E20" s="8" t="s">
        <v>13</v>
      </c>
      <c r="F20" s="8" t="s">
        <v>8</v>
      </c>
    </row>
    <row r="21" ht="22.5" customHeight="1">
      <c r="A21" s="6">
        <v>46015.725718472226</v>
      </c>
      <c r="B21" s="7">
        <v>46014.0</v>
      </c>
      <c r="C21" s="8" t="s">
        <v>9</v>
      </c>
      <c r="D21" s="8" t="s">
        <v>7</v>
      </c>
      <c r="F21" s="8" t="s">
        <v>8</v>
      </c>
    </row>
    <row r="22" ht="22.5" customHeight="1">
      <c r="A22" s="6">
        <v>46015.725910486115</v>
      </c>
      <c r="B22" s="7">
        <v>46014.0</v>
      </c>
      <c r="C22" s="8" t="s">
        <v>14</v>
      </c>
      <c r="D22" s="8" t="s">
        <v>7</v>
      </c>
      <c r="F22" s="8" t="s">
        <v>15</v>
      </c>
    </row>
    <row r="23" ht="22.5" customHeight="1">
      <c r="A23" s="6">
        <v>46015.72607282407</v>
      </c>
      <c r="B23" s="7">
        <v>46014.0</v>
      </c>
      <c r="C23" s="8" t="s">
        <v>6</v>
      </c>
      <c r="D23" s="8" t="s">
        <v>7</v>
      </c>
      <c r="F23" s="8" t="s">
        <v>8</v>
      </c>
    </row>
    <row r="24" ht="22.5" customHeight="1">
      <c r="A24" s="6">
        <v>46015.73339381945</v>
      </c>
      <c r="B24" s="7">
        <v>46007.0</v>
      </c>
      <c r="C24" s="8" t="s">
        <v>14</v>
      </c>
      <c r="D24" s="8" t="s">
        <v>7</v>
      </c>
      <c r="F24" s="8" t="s">
        <v>15</v>
      </c>
    </row>
    <row r="25" ht="22.5" customHeight="1">
      <c r="A25" s="6">
        <v>46015.73374708333</v>
      </c>
      <c r="B25" s="7">
        <v>46002.0</v>
      </c>
      <c r="C25" s="8" t="s">
        <v>14</v>
      </c>
      <c r="D25" s="8" t="s">
        <v>7</v>
      </c>
      <c r="F25" s="8" t="s">
        <v>15</v>
      </c>
    </row>
    <row r="26" ht="22.5" customHeight="1">
      <c r="A26" s="6">
        <v>46015.73396421297</v>
      </c>
      <c r="B26" s="7">
        <v>46000.0</v>
      </c>
      <c r="C26" s="8" t="s">
        <v>14</v>
      </c>
      <c r="D26" s="8" t="s">
        <v>7</v>
      </c>
      <c r="F26" s="8" t="s">
        <v>15</v>
      </c>
    </row>
    <row r="27" ht="22.5" customHeight="1">
      <c r="A27" s="6">
        <v>46015.73420543982</v>
      </c>
      <c r="B27" s="7">
        <v>45995.0</v>
      </c>
      <c r="C27" s="8" t="s">
        <v>14</v>
      </c>
      <c r="D27" s="8" t="s">
        <v>7</v>
      </c>
      <c r="F27" s="8" t="s">
        <v>15</v>
      </c>
    </row>
    <row r="28" ht="22.5" customHeight="1">
      <c r="A28" s="6">
        <v>46015.735002719906</v>
      </c>
      <c r="B28" s="7">
        <v>45988.0</v>
      </c>
      <c r="C28" s="8" t="s">
        <v>14</v>
      </c>
      <c r="D28" s="8" t="s">
        <v>7</v>
      </c>
      <c r="F28" s="8" t="s">
        <v>15</v>
      </c>
    </row>
    <row r="29" ht="22.5" customHeight="1">
      <c r="A29" s="6">
        <v>46015.73763319444</v>
      </c>
      <c r="B29" s="7">
        <v>45994.0</v>
      </c>
      <c r="C29" s="8" t="s">
        <v>16</v>
      </c>
      <c r="D29" s="8" t="s">
        <v>7</v>
      </c>
      <c r="F29" s="8" t="s">
        <v>15</v>
      </c>
    </row>
    <row r="30" ht="22.5" customHeight="1">
      <c r="A30" s="6">
        <v>46015.738060358795</v>
      </c>
      <c r="B30" s="7">
        <v>46001.0</v>
      </c>
      <c r="C30" s="8" t="s">
        <v>16</v>
      </c>
      <c r="D30" s="8" t="s">
        <v>7</v>
      </c>
      <c r="F30" s="8" t="s">
        <v>15</v>
      </c>
    </row>
    <row r="31" ht="22.5" customHeight="1">
      <c r="A31" s="6">
        <v>46015.73823459491</v>
      </c>
      <c r="B31" s="7">
        <v>46008.0</v>
      </c>
      <c r="C31" s="8" t="s">
        <v>16</v>
      </c>
      <c r="D31" s="8" t="s">
        <v>7</v>
      </c>
      <c r="F31" s="8" t="s">
        <v>15</v>
      </c>
    </row>
    <row r="32" ht="22.5" customHeight="1">
      <c r="A32" s="6">
        <v>46015.74088896991</v>
      </c>
      <c r="B32" s="7">
        <v>45992.0</v>
      </c>
      <c r="C32" s="8" t="s">
        <v>17</v>
      </c>
      <c r="D32" s="8" t="s">
        <v>7</v>
      </c>
      <c r="F32" s="8" t="s">
        <v>15</v>
      </c>
    </row>
    <row r="33" ht="22.5" customHeight="1">
      <c r="A33" s="6">
        <v>46015.741028136574</v>
      </c>
      <c r="B33" s="7">
        <v>45996.0</v>
      </c>
      <c r="C33" s="8" t="s">
        <v>17</v>
      </c>
      <c r="D33" s="8" t="s">
        <v>7</v>
      </c>
      <c r="F33" s="8" t="s">
        <v>15</v>
      </c>
    </row>
    <row r="34" ht="22.5" customHeight="1">
      <c r="A34" s="6">
        <v>46015.74118886574</v>
      </c>
      <c r="B34" s="7">
        <v>45999.0</v>
      </c>
      <c r="C34" s="8" t="s">
        <v>17</v>
      </c>
      <c r="D34" s="8" t="s">
        <v>7</v>
      </c>
      <c r="F34" s="8" t="s">
        <v>15</v>
      </c>
    </row>
    <row r="35" ht="22.5" customHeight="1">
      <c r="A35" s="6">
        <v>46015.741346678245</v>
      </c>
      <c r="B35" s="7">
        <v>46003.0</v>
      </c>
      <c r="C35" s="8" t="s">
        <v>17</v>
      </c>
      <c r="D35" s="8" t="s">
        <v>7</v>
      </c>
      <c r="F35" s="8" t="s">
        <v>15</v>
      </c>
    </row>
    <row r="36" ht="22.5" customHeight="1">
      <c r="A36" s="6">
        <v>46015.74155103009</v>
      </c>
      <c r="B36" s="7">
        <v>46006.0</v>
      </c>
      <c r="C36" s="8" t="s">
        <v>17</v>
      </c>
      <c r="D36" s="8" t="s">
        <v>7</v>
      </c>
      <c r="F36" s="8" t="s">
        <v>15</v>
      </c>
    </row>
    <row r="37" ht="22.5" customHeight="1">
      <c r="A37" s="6">
        <v>46015.74176125</v>
      </c>
      <c r="B37" s="7">
        <v>46010.0</v>
      </c>
      <c r="C37" s="8" t="s">
        <v>17</v>
      </c>
      <c r="D37" s="8" t="s">
        <v>7</v>
      </c>
      <c r="F37" s="8" t="s">
        <v>15</v>
      </c>
    </row>
    <row r="38" ht="22.5" customHeight="1">
      <c r="A38" s="6">
        <v>46015.74214672454</v>
      </c>
      <c r="B38" s="7">
        <v>46013.0</v>
      </c>
      <c r="C38" s="8" t="s">
        <v>17</v>
      </c>
      <c r="D38" s="8" t="s">
        <v>7</v>
      </c>
      <c r="F38" s="8" t="s">
        <v>15</v>
      </c>
    </row>
    <row r="39" ht="22.5" customHeight="1">
      <c r="A39" s="6">
        <v>46016.566707881946</v>
      </c>
      <c r="B39" s="7">
        <v>46016.0</v>
      </c>
      <c r="C39" s="8" t="s">
        <v>9</v>
      </c>
      <c r="D39" s="8" t="s">
        <v>10</v>
      </c>
      <c r="E39" s="8" t="s">
        <v>18</v>
      </c>
      <c r="F39" s="8" t="s">
        <v>8</v>
      </c>
    </row>
    <row r="40" ht="22.5" customHeight="1">
      <c r="A40" s="6">
        <v>46016.73088309028</v>
      </c>
      <c r="B40" s="7">
        <v>46016.0</v>
      </c>
      <c r="C40" s="8" t="s">
        <v>14</v>
      </c>
      <c r="D40" s="8" t="s">
        <v>7</v>
      </c>
      <c r="F40" s="8" t="s">
        <v>15</v>
      </c>
    </row>
    <row r="41" ht="22.5" customHeight="1">
      <c r="A41" s="6">
        <v>46016.731035046294</v>
      </c>
      <c r="B41" s="7">
        <v>46016.0</v>
      </c>
      <c r="C41" s="8" t="s">
        <v>6</v>
      </c>
      <c r="D41" s="8" t="s">
        <v>7</v>
      </c>
      <c r="F41" s="8" t="s">
        <v>8</v>
      </c>
    </row>
    <row r="42" ht="22.5" customHeight="1">
      <c r="A42" s="6">
        <v>46017.48913587963</v>
      </c>
      <c r="B42" s="7">
        <v>46017.0</v>
      </c>
      <c r="C42" s="8" t="s">
        <v>9</v>
      </c>
      <c r="D42" s="8" t="s">
        <v>7</v>
      </c>
      <c r="F42" s="8" t="s">
        <v>8</v>
      </c>
    </row>
    <row r="43" ht="22.5" customHeight="1">
      <c r="A43" s="6">
        <v>46018.7547271875</v>
      </c>
      <c r="B43" s="7">
        <v>46018.0</v>
      </c>
      <c r="C43" s="8" t="s">
        <v>6</v>
      </c>
      <c r="D43" s="8" t="s">
        <v>7</v>
      </c>
      <c r="F43" s="8" t="s">
        <v>8</v>
      </c>
    </row>
    <row r="44" ht="22.5" customHeight="1">
      <c r="A44" s="6">
        <v>46018.97000274305</v>
      </c>
      <c r="B44" s="7">
        <v>46017.0</v>
      </c>
      <c r="C44" s="8" t="s">
        <v>16</v>
      </c>
      <c r="D44" s="8" t="s">
        <v>7</v>
      </c>
      <c r="F44" s="8" t="s">
        <v>15</v>
      </c>
    </row>
    <row r="45" ht="22.5" customHeight="1">
      <c r="A45" s="6">
        <v>46021.58712167824</v>
      </c>
      <c r="B45" s="7">
        <v>46021.0</v>
      </c>
      <c r="C45" s="8" t="s">
        <v>9</v>
      </c>
      <c r="D45" s="8" t="s">
        <v>7</v>
      </c>
      <c r="F45" s="8" t="s">
        <v>8</v>
      </c>
    </row>
    <row r="46" ht="22.5" customHeight="1">
      <c r="A46" s="6">
        <v>46021.78813112268</v>
      </c>
      <c r="B46" s="7">
        <v>46021.0</v>
      </c>
      <c r="C46" s="8" t="s">
        <v>14</v>
      </c>
      <c r="D46" s="8" t="s">
        <v>7</v>
      </c>
      <c r="F46" s="8" t="s">
        <v>15</v>
      </c>
    </row>
    <row r="47" ht="22.5" customHeight="1">
      <c r="A47" s="6">
        <v>46021.788405555555</v>
      </c>
      <c r="B47" s="7">
        <v>46021.0</v>
      </c>
      <c r="C47" s="8" t="s">
        <v>6</v>
      </c>
      <c r="D47" s="8" t="s">
        <v>7</v>
      </c>
      <c r="F47" s="8" t="s">
        <v>8</v>
      </c>
    </row>
    <row r="48" ht="22.5" customHeight="1">
      <c r="A48" s="6">
        <v>46025.56550991898</v>
      </c>
      <c r="B48" s="7">
        <v>46025.0</v>
      </c>
      <c r="C48" s="8" t="s">
        <v>6</v>
      </c>
      <c r="D48" s="8" t="s">
        <v>7</v>
      </c>
      <c r="F48" s="8" t="s">
        <v>8</v>
      </c>
    </row>
    <row r="49" ht="22.5" customHeight="1">
      <c r="A49" s="6">
        <v>46025.56565634259</v>
      </c>
      <c r="B49" s="7">
        <v>46024.0</v>
      </c>
      <c r="C49" s="8" t="s">
        <v>16</v>
      </c>
      <c r="D49" s="8" t="s">
        <v>7</v>
      </c>
      <c r="F49" s="8" t="s">
        <v>15</v>
      </c>
    </row>
    <row r="50" ht="22.5" customHeight="1">
      <c r="A50" s="6">
        <v>46025.56581068287</v>
      </c>
      <c r="B50" s="7">
        <v>46024.0</v>
      </c>
      <c r="C50" s="8" t="s">
        <v>14</v>
      </c>
      <c r="D50" s="8" t="s">
        <v>7</v>
      </c>
      <c r="F50" s="8" t="s">
        <v>15</v>
      </c>
    </row>
    <row r="51" ht="22.5" customHeight="1">
      <c r="A51" s="6">
        <v>46028.49140638889</v>
      </c>
      <c r="B51" s="7">
        <v>46028.0</v>
      </c>
      <c r="C51" s="8" t="s">
        <v>9</v>
      </c>
      <c r="D51" s="8" t="s">
        <v>7</v>
      </c>
      <c r="F51" s="8" t="s">
        <v>8</v>
      </c>
    </row>
    <row r="52" ht="22.5" customHeight="1">
      <c r="A52" s="6">
        <v>46028.69647689815</v>
      </c>
      <c r="B52" s="7">
        <v>46028.0</v>
      </c>
      <c r="C52" s="8" t="s">
        <v>14</v>
      </c>
      <c r="D52" s="8" t="s">
        <v>7</v>
      </c>
      <c r="F52" s="8" t="s">
        <v>15</v>
      </c>
    </row>
    <row r="53" ht="22.5" customHeight="1">
      <c r="A53" s="6">
        <v>46028.78706326389</v>
      </c>
      <c r="B53" s="7">
        <v>45663.0</v>
      </c>
      <c r="C53" s="8" t="s">
        <v>6</v>
      </c>
      <c r="D53" s="8" t="s">
        <v>7</v>
      </c>
      <c r="F53" s="8" t="s">
        <v>8</v>
      </c>
    </row>
    <row r="54" ht="22.5" customHeight="1">
      <c r="A54" s="6">
        <v>46030.44075862269</v>
      </c>
      <c r="B54" s="7">
        <v>46029.0</v>
      </c>
      <c r="C54" s="8" t="s">
        <v>16</v>
      </c>
      <c r="D54" s="8" t="s">
        <v>7</v>
      </c>
      <c r="F54" s="8" t="s">
        <v>15</v>
      </c>
    </row>
    <row r="55" ht="22.5" customHeight="1">
      <c r="A55" s="6">
        <v>46030.51875659722</v>
      </c>
      <c r="B55" s="7">
        <v>46030.0</v>
      </c>
      <c r="C55" s="8" t="s">
        <v>9</v>
      </c>
      <c r="D55" s="8" t="s">
        <v>7</v>
      </c>
      <c r="F55" s="8" t="s">
        <v>8</v>
      </c>
    </row>
    <row r="56" ht="22.5" customHeight="1">
      <c r="A56" s="6">
        <v>46034.59323084491</v>
      </c>
      <c r="B56" s="7">
        <v>46032.0</v>
      </c>
      <c r="C56" s="8" t="s">
        <v>6</v>
      </c>
      <c r="D56" s="8" t="s">
        <v>19</v>
      </c>
      <c r="E56" s="8" t="s">
        <v>20</v>
      </c>
      <c r="F56" s="8" t="s">
        <v>8</v>
      </c>
    </row>
    <row r="57" ht="22.5" customHeight="1">
      <c r="A57" s="6">
        <v>46034.595479780095</v>
      </c>
      <c r="B57" s="7">
        <v>45989.0</v>
      </c>
      <c r="C57" s="8" t="s">
        <v>17</v>
      </c>
      <c r="D57" s="8" t="s">
        <v>7</v>
      </c>
      <c r="F57" s="8" t="s">
        <v>15</v>
      </c>
    </row>
    <row r="58" ht="22.5" customHeight="1">
      <c r="A58" s="6">
        <v>46034.80925826389</v>
      </c>
      <c r="B58" s="7">
        <v>46034.0</v>
      </c>
      <c r="C58" s="8" t="s">
        <v>17</v>
      </c>
      <c r="D58" s="8" t="s">
        <v>7</v>
      </c>
      <c r="F58" s="8" t="s">
        <v>15</v>
      </c>
    </row>
    <row r="59" ht="22.5" customHeight="1">
      <c r="A59" s="6">
        <v>46035.64070087963</v>
      </c>
      <c r="B59" s="7">
        <v>46035.0</v>
      </c>
      <c r="C59" s="8" t="s">
        <v>9</v>
      </c>
      <c r="D59" s="8" t="s">
        <v>7</v>
      </c>
      <c r="F59" s="8" t="s">
        <v>8</v>
      </c>
    </row>
    <row r="60" ht="22.5" customHeight="1">
      <c r="A60" s="6">
        <v>46035.76519766204</v>
      </c>
      <c r="B60" s="7">
        <v>46035.0</v>
      </c>
      <c r="C60" s="8" t="s">
        <v>14</v>
      </c>
      <c r="D60" s="8" t="s">
        <v>7</v>
      </c>
      <c r="F60" s="8" t="s">
        <v>15</v>
      </c>
    </row>
    <row r="61" ht="22.5" customHeight="1">
      <c r="A61" s="6">
        <v>46035.76533642361</v>
      </c>
      <c r="B61" s="7">
        <v>46035.0</v>
      </c>
      <c r="C61" s="8" t="s">
        <v>6</v>
      </c>
      <c r="D61" s="8" t="s">
        <v>7</v>
      </c>
      <c r="F61" s="8" t="s">
        <v>8</v>
      </c>
    </row>
    <row r="62" ht="22.5" customHeight="1">
      <c r="A62" s="6">
        <v>46037.68053724537</v>
      </c>
      <c r="B62" s="7">
        <v>46037.0</v>
      </c>
      <c r="C62" s="8" t="s">
        <v>9</v>
      </c>
      <c r="D62" s="8" t="s">
        <v>7</v>
      </c>
      <c r="F62" s="8" t="s">
        <v>8</v>
      </c>
    </row>
    <row r="63" ht="22.5" customHeight="1">
      <c r="A63" s="6">
        <v>46037.680788564816</v>
      </c>
      <c r="B63" s="7">
        <v>46036.0</v>
      </c>
      <c r="C63" s="8" t="s">
        <v>16</v>
      </c>
      <c r="D63" s="8" t="s">
        <v>19</v>
      </c>
      <c r="E63" s="8" t="s">
        <v>21</v>
      </c>
      <c r="F63" s="8" t="s">
        <v>15</v>
      </c>
    </row>
    <row r="64" ht="22.5" customHeight="1">
      <c r="A64" s="6">
        <v>46042.60149731481</v>
      </c>
      <c r="B64" s="7">
        <v>46042.0</v>
      </c>
      <c r="C64" s="8" t="s">
        <v>9</v>
      </c>
      <c r="D64" s="8" t="s">
        <v>7</v>
      </c>
      <c r="F64" s="8" t="s">
        <v>8</v>
      </c>
    </row>
    <row r="65" ht="22.5" customHeight="1">
      <c r="A65" s="6">
        <v>46042.60210351852</v>
      </c>
      <c r="B65" s="7">
        <v>46038.0</v>
      </c>
      <c r="C65" s="8" t="s">
        <v>16</v>
      </c>
      <c r="D65" s="8" t="s">
        <v>7</v>
      </c>
      <c r="F65" s="8" t="s">
        <v>15</v>
      </c>
    </row>
    <row r="66" ht="22.5" customHeight="1">
      <c r="A66" s="6">
        <v>46042.60295383102</v>
      </c>
      <c r="B66" s="7">
        <v>46037.0</v>
      </c>
      <c r="C66" s="8" t="s">
        <v>14</v>
      </c>
      <c r="D66" s="8" t="s">
        <v>7</v>
      </c>
      <c r="F66" s="8" t="s">
        <v>15</v>
      </c>
    </row>
    <row r="67" ht="22.5" customHeight="1">
      <c r="A67" s="6">
        <v>46042.603205046296</v>
      </c>
      <c r="B67" s="7">
        <v>46037.0</v>
      </c>
      <c r="C67" s="8" t="s">
        <v>6</v>
      </c>
      <c r="D67" s="8" t="s">
        <v>7</v>
      </c>
      <c r="F67" s="8" t="s">
        <v>8</v>
      </c>
    </row>
    <row r="68" ht="22.5" customHeight="1">
      <c r="A68" s="6">
        <v>46042.603708298615</v>
      </c>
      <c r="B68" s="7">
        <v>46038.0</v>
      </c>
      <c r="C68" s="8" t="s">
        <v>17</v>
      </c>
      <c r="D68" s="8" t="s">
        <v>7</v>
      </c>
      <c r="F68" s="8" t="s">
        <v>15</v>
      </c>
    </row>
    <row r="69" ht="22.5" customHeight="1">
      <c r="A69" s="6">
        <v>46042.603891562496</v>
      </c>
      <c r="B69" s="7">
        <v>46041.0</v>
      </c>
      <c r="C69" s="8" t="s">
        <v>17</v>
      </c>
      <c r="D69" s="8" t="s">
        <v>7</v>
      </c>
      <c r="F69" s="8" t="s">
        <v>15</v>
      </c>
    </row>
    <row r="70" ht="22.5" customHeight="1">
      <c r="A70" s="6">
        <v>46044.592152847224</v>
      </c>
      <c r="B70" s="7">
        <v>46043.0</v>
      </c>
      <c r="C70" s="8" t="s">
        <v>16</v>
      </c>
      <c r="D70" s="8" t="s">
        <v>7</v>
      </c>
      <c r="F70" s="8" t="s">
        <v>15</v>
      </c>
    </row>
    <row r="71" ht="22.5" customHeight="1">
      <c r="A71" s="6">
        <v>46044.59229584491</v>
      </c>
      <c r="B71" s="7">
        <v>46044.0</v>
      </c>
      <c r="C71" s="8" t="s">
        <v>9</v>
      </c>
      <c r="D71" s="8" t="s">
        <v>7</v>
      </c>
      <c r="F71" s="8" t="s">
        <v>8</v>
      </c>
    </row>
    <row r="72" ht="22.5" customHeight="1">
      <c r="A72" s="6">
        <v>46044.72846010417</v>
      </c>
      <c r="B72" s="7">
        <v>46042.0</v>
      </c>
      <c r="C72" s="8" t="s">
        <v>14</v>
      </c>
      <c r="D72" s="8" t="s">
        <v>7</v>
      </c>
      <c r="F72" s="8" t="s">
        <v>15</v>
      </c>
    </row>
    <row r="73" ht="22.5" customHeight="1">
      <c r="A73" s="6">
        <v>46044.7285825463</v>
      </c>
      <c r="B73" s="7">
        <v>46044.0</v>
      </c>
      <c r="C73" s="8" t="s">
        <v>14</v>
      </c>
      <c r="D73" s="8" t="s">
        <v>7</v>
      </c>
      <c r="F73" s="8" t="s">
        <v>15</v>
      </c>
    </row>
    <row r="74" ht="22.5" customHeight="1">
      <c r="A74" s="6">
        <v>46044.730027488426</v>
      </c>
      <c r="B74" s="7">
        <v>46044.0</v>
      </c>
      <c r="C74" s="8" t="s">
        <v>6</v>
      </c>
      <c r="D74" s="8" t="s">
        <v>7</v>
      </c>
      <c r="F74" s="8" t="s">
        <v>8</v>
      </c>
    </row>
    <row r="75" ht="22.5" customHeight="1">
      <c r="A75" s="6">
        <v>46049.693567395836</v>
      </c>
      <c r="B75" s="7">
        <v>46045.0</v>
      </c>
      <c r="C75" s="8" t="s">
        <v>17</v>
      </c>
      <c r="D75" s="8" t="s">
        <v>7</v>
      </c>
      <c r="F75" s="8" t="s">
        <v>15</v>
      </c>
    </row>
    <row r="76" ht="22.5" customHeight="1">
      <c r="A76" s="6">
        <v>46049.69372592593</v>
      </c>
      <c r="B76" s="7">
        <v>46046.0</v>
      </c>
      <c r="C76" s="8" t="s">
        <v>6</v>
      </c>
      <c r="D76" s="8" t="s">
        <v>7</v>
      </c>
      <c r="F76" s="8" t="s">
        <v>8</v>
      </c>
    </row>
    <row r="77" ht="22.5" customHeight="1">
      <c r="A77" s="6">
        <v>46049.69437240741</v>
      </c>
      <c r="B77" s="7">
        <v>46049.0</v>
      </c>
      <c r="C77" s="8" t="s">
        <v>9</v>
      </c>
      <c r="D77" s="8" t="s">
        <v>7</v>
      </c>
      <c r="F77" s="8" t="s">
        <v>8</v>
      </c>
    </row>
    <row r="78" ht="22.5" customHeight="1">
      <c r="A78" s="6">
        <v>46049.69456965278</v>
      </c>
      <c r="B78" s="7">
        <v>46049.0</v>
      </c>
      <c r="C78" s="8" t="s">
        <v>14</v>
      </c>
      <c r="D78" s="8" t="s">
        <v>7</v>
      </c>
      <c r="F78" s="8" t="s">
        <v>15</v>
      </c>
    </row>
    <row r="79" ht="22.5" customHeight="1">
      <c r="A79" s="6">
        <v>46049.69545662037</v>
      </c>
      <c r="B79" s="7">
        <v>46048.0</v>
      </c>
      <c r="C79" s="8" t="s">
        <v>17</v>
      </c>
      <c r="D79" s="8" t="s">
        <v>7</v>
      </c>
      <c r="F79" s="8" t="s">
        <v>15</v>
      </c>
    </row>
    <row r="80" ht="22.5" customHeight="1">
      <c r="A80" s="6">
        <v>46050.74505596065</v>
      </c>
      <c r="B80" s="7">
        <v>46049.0</v>
      </c>
      <c r="C80" s="8" t="s">
        <v>6</v>
      </c>
      <c r="D80" s="8" t="s">
        <v>7</v>
      </c>
      <c r="F80" s="8" t="s">
        <v>8</v>
      </c>
    </row>
    <row r="81" ht="22.5" customHeight="1">
      <c r="A81" s="6">
        <v>46051.564842141204</v>
      </c>
      <c r="B81" s="7">
        <v>46051.0</v>
      </c>
      <c r="C81" s="8" t="s">
        <v>9</v>
      </c>
      <c r="D81" s="8" t="s">
        <v>7</v>
      </c>
      <c r="F81" s="8" t="s">
        <v>8</v>
      </c>
    </row>
    <row r="82" ht="22.5" customHeight="1">
      <c r="A82" s="6">
        <v>46051.56517377315</v>
      </c>
      <c r="B82" s="7">
        <v>46050.0</v>
      </c>
      <c r="C82" s="8" t="s">
        <v>16</v>
      </c>
      <c r="D82" s="8" t="s">
        <v>7</v>
      </c>
      <c r="F82" s="8" t="s">
        <v>15</v>
      </c>
    </row>
    <row r="83" ht="22.5" customHeight="1">
      <c r="A83" s="6">
        <v>46051.729630497684</v>
      </c>
      <c r="B83" s="7">
        <v>46051.0</v>
      </c>
      <c r="C83" s="8" t="s">
        <v>14</v>
      </c>
      <c r="D83" s="8" t="s">
        <v>7</v>
      </c>
      <c r="F83" s="8" t="s">
        <v>15</v>
      </c>
    </row>
    <row r="84" ht="22.5" customHeight="1">
      <c r="A84" s="6">
        <v>46052.389426759255</v>
      </c>
      <c r="B84" s="7">
        <v>46051.0</v>
      </c>
      <c r="C84" s="8" t="s">
        <v>6</v>
      </c>
      <c r="D84" s="8" t="s">
        <v>7</v>
      </c>
      <c r="F84" s="8" t="s">
        <v>8</v>
      </c>
    </row>
    <row r="85" ht="22.5" customHeight="1">
      <c r="A85" s="6">
        <v>46054.43912413194</v>
      </c>
      <c r="B85" s="7">
        <v>46053.0</v>
      </c>
      <c r="C85" s="8" t="s">
        <v>6</v>
      </c>
      <c r="D85" s="8" t="s">
        <v>12</v>
      </c>
      <c r="E85" s="8" t="s">
        <v>22</v>
      </c>
      <c r="F85" s="8" t="s">
        <v>8</v>
      </c>
    </row>
    <row r="86" ht="22.5" customHeight="1">
      <c r="A86" s="6">
        <v>46054.43936347222</v>
      </c>
      <c r="B86" s="7">
        <v>46052.0</v>
      </c>
      <c r="C86" s="8" t="s">
        <v>17</v>
      </c>
      <c r="D86" s="8" t="s">
        <v>7</v>
      </c>
      <c r="F86" s="8" t="s">
        <v>15</v>
      </c>
    </row>
    <row r="87" ht="22.5" customHeight="1">
      <c r="A87" s="6">
        <v>46058.62864702546</v>
      </c>
      <c r="B87" s="7">
        <v>46056.0</v>
      </c>
      <c r="C87" s="8" t="s">
        <v>14</v>
      </c>
      <c r="D87" s="8" t="s">
        <v>19</v>
      </c>
      <c r="E87" s="8" t="s">
        <v>23</v>
      </c>
      <c r="F87" s="8" t="s">
        <v>15</v>
      </c>
    </row>
    <row r="88" ht="22.5" customHeight="1">
      <c r="A88" s="6">
        <v>46058.62901333334</v>
      </c>
      <c r="B88" s="7">
        <v>46056.0</v>
      </c>
      <c r="C88" s="8" t="s">
        <v>9</v>
      </c>
      <c r="D88" s="8" t="s">
        <v>7</v>
      </c>
      <c r="F88" s="8" t="s">
        <v>8</v>
      </c>
    </row>
    <row r="89" ht="22.5" customHeight="1">
      <c r="A89" s="6">
        <v>46058.629207060185</v>
      </c>
      <c r="B89" s="7">
        <v>46056.0</v>
      </c>
      <c r="C89" s="8" t="s">
        <v>6</v>
      </c>
      <c r="D89" s="8" t="s">
        <v>7</v>
      </c>
      <c r="F89" s="8" t="s">
        <v>8</v>
      </c>
    </row>
    <row r="90" ht="22.5" customHeight="1">
      <c r="A90" s="6">
        <v>46058.6293497338</v>
      </c>
      <c r="B90" s="7">
        <v>46058.0</v>
      </c>
      <c r="C90" s="8" t="s">
        <v>6</v>
      </c>
      <c r="D90" s="8" t="s">
        <v>7</v>
      </c>
      <c r="F90" s="8" t="s">
        <v>8</v>
      </c>
    </row>
    <row r="91" ht="22.5" customHeight="1">
      <c r="A91" s="6">
        <v>46058.62981932871</v>
      </c>
      <c r="B91" s="7">
        <v>46055.0</v>
      </c>
      <c r="C91" s="8" t="s">
        <v>17</v>
      </c>
      <c r="D91" s="8" t="s">
        <v>7</v>
      </c>
      <c r="F91" s="8" t="s">
        <v>15</v>
      </c>
    </row>
    <row r="92" ht="22.5" customHeight="1">
      <c r="A92" s="6">
        <v>46058.631336631945</v>
      </c>
      <c r="B92" s="7">
        <v>46058.0</v>
      </c>
      <c r="C92" s="8" t="s">
        <v>9</v>
      </c>
      <c r="D92" s="8" t="s">
        <v>7</v>
      </c>
      <c r="F92" s="8" t="s">
        <v>8</v>
      </c>
    </row>
    <row r="93" ht="22.5" customHeight="1">
      <c r="A93" s="6">
        <v>46063.855873368055</v>
      </c>
      <c r="B93" s="7">
        <v>46059.0</v>
      </c>
      <c r="C93" s="8" t="s">
        <v>17</v>
      </c>
      <c r="D93" s="8" t="s">
        <v>7</v>
      </c>
      <c r="F93" s="8" t="s">
        <v>15</v>
      </c>
    </row>
    <row r="94" ht="22.5" customHeight="1">
      <c r="A94" s="6">
        <v>46063.85602261574</v>
      </c>
      <c r="B94" s="7">
        <v>46059.0</v>
      </c>
      <c r="C94" s="8" t="s">
        <v>16</v>
      </c>
      <c r="D94" s="8" t="s">
        <v>7</v>
      </c>
      <c r="F94" s="8" t="s">
        <v>15</v>
      </c>
    </row>
    <row r="95" ht="22.5" customHeight="1">
      <c r="A95" s="6">
        <v>46063.856243159724</v>
      </c>
      <c r="B95" s="7">
        <v>46060.0</v>
      </c>
      <c r="C95" s="8" t="s">
        <v>6</v>
      </c>
      <c r="D95" s="8" t="s">
        <v>12</v>
      </c>
      <c r="E95" s="8" t="s">
        <v>24</v>
      </c>
      <c r="F95" s="8" t="s">
        <v>8</v>
      </c>
    </row>
    <row r="96" ht="22.5" customHeight="1">
      <c r="A96" s="6">
        <v>46063.85640527778</v>
      </c>
      <c r="B96" s="7">
        <v>46062.0</v>
      </c>
      <c r="C96" s="8" t="s">
        <v>17</v>
      </c>
      <c r="D96" s="8" t="s">
        <v>7</v>
      </c>
      <c r="F96" s="8" t="s">
        <v>15</v>
      </c>
    </row>
    <row r="97" ht="22.5" customHeight="1">
      <c r="A97" s="6">
        <v>46063.85654523148</v>
      </c>
      <c r="B97" s="7">
        <v>46063.0</v>
      </c>
      <c r="C97" s="8" t="s">
        <v>9</v>
      </c>
      <c r="D97" s="8" t="s">
        <v>7</v>
      </c>
      <c r="F97" s="8" t="s">
        <v>8</v>
      </c>
    </row>
    <row r="98" ht="22.5" customHeight="1">
      <c r="A98" s="6">
        <v>46063.85666813658</v>
      </c>
      <c r="B98" s="7">
        <v>46063.0</v>
      </c>
      <c r="C98" s="8" t="s">
        <v>14</v>
      </c>
      <c r="D98" s="8" t="s">
        <v>7</v>
      </c>
      <c r="F98" s="8" t="s">
        <v>15</v>
      </c>
    </row>
    <row r="99" ht="22.5" customHeight="1">
      <c r="A99" s="6">
        <v>46063.856780173606</v>
      </c>
      <c r="B99" s="7">
        <v>46063.0</v>
      </c>
      <c r="C99" s="8" t="s">
        <v>6</v>
      </c>
      <c r="D99" s="8" t="s">
        <v>7</v>
      </c>
      <c r="F99" s="8" t="s">
        <v>8</v>
      </c>
    </row>
    <row r="100" ht="22.5" customHeight="1">
      <c r="A100" s="6">
        <v>46070.51727783565</v>
      </c>
      <c r="B100" s="7">
        <v>46065.0</v>
      </c>
      <c r="C100" s="8" t="s">
        <v>9</v>
      </c>
      <c r="D100" s="8" t="s">
        <v>7</v>
      </c>
      <c r="F100" s="8" t="s">
        <v>8</v>
      </c>
    </row>
    <row r="101" ht="22.5" customHeight="1">
      <c r="A101" s="6">
        <v>46070.517431354165</v>
      </c>
      <c r="B101" s="7">
        <v>46065.0</v>
      </c>
      <c r="C101" s="8" t="s">
        <v>14</v>
      </c>
      <c r="D101" s="8" t="s">
        <v>7</v>
      </c>
      <c r="F101" s="8" t="s">
        <v>15</v>
      </c>
    </row>
    <row r="102" ht="22.5" customHeight="1">
      <c r="A102" s="6">
        <v>46070.5176617824</v>
      </c>
      <c r="B102" s="7">
        <v>46065.0</v>
      </c>
      <c r="C102" s="8" t="s">
        <v>6</v>
      </c>
      <c r="D102" s="8" t="s">
        <v>7</v>
      </c>
      <c r="F102" s="8" t="s">
        <v>8</v>
      </c>
    </row>
    <row r="103" ht="22.5" customHeight="1">
      <c r="A103" s="6">
        <v>46070.5178184838</v>
      </c>
      <c r="B103" s="7">
        <v>46066.0</v>
      </c>
      <c r="C103" s="8" t="s">
        <v>16</v>
      </c>
      <c r="D103" s="8" t="s">
        <v>7</v>
      </c>
      <c r="F103" s="8" t="s">
        <v>15</v>
      </c>
    </row>
    <row r="104" ht="22.5" customHeight="1">
      <c r="A104" s="6">
        <v>46070.51797730324</v>
      </c>
      <c r="B104" s="7">
        <v>46066.0</v>
      </c>
      <c r="C104" s="8" t="s">
        <v>17</v>
      </c>
      <c r="D104" s="8" t="s">
        <v>7</v>
      </c>
      <c r="F104" s="8" t="s">
        <v>15</v>
      </c>
    </row>
    <row r="105" ht="22.5" customHeight="1">
      <c r="A105" s="6">
        <v>46070.5181672801</v>
      </c>
      <c r="B105" s="7">
        <v>46067.0</v>
      </c>
      <c r="C105" s="8" t="s">
        <v>6</v>
      </c>
      <c r="D105" s="8" t="s">
        <v>7</v>
      </c>
      <c r="F105" s="8" t="s">
        <v>8</v>
      </c>
    </row>
    <row r="106" ht="22.5" customHeight="1">
      <c r="A106" s="6">
        <v>46070.51974221064</v>
      </c>
      <c r="B106" s="7">
        <v>46069.0</v>
      </c>
      <c r="C106" s="8" t="s">
        <v>17</v>
      </c>
      <c r="D106" s="8" t="s">
        <v>7</v>
      </c>
      <c r="F106" s="8" t="s">
        <v>15</v>
      </c>
    </row>
    <row r="107" ht="22.5" customHeight="1">
      <c r="A107" s="6">
        <v>46074.59242</v>
      </c>
      <c r="B107" s="7">
        <v>46070.0</v>
      </c>
      <c r="C107" s="8" t="s">
        <v>14</v>
      </c>
      <c r="D107" s="8" t="s">
        <v>7</v>
      </c>
      <c r="F107" s="8" t="s">
        <v>15</v>
      </c>
    </row>
    <row r="108" ht="22.5" customHeight="1">
      <c r="A108" s="6">
        <v>46074.59253711806</v>
      </c>
      <c r="B108" s="7">
        <v>46070.0</v>
      </c>
      <c r="C108" s="8" t="s">
        <v>9</v>
      </c>
      <c r="D108" s="8" t="s">
        <v>7</v>
      </c>
      <c r="F108" s="8" t="s">
        <v>8</v>
      </c>
    </row>
    <row r="109" ht="22.5" customHeight="1">
      <c r="A109" s="6">
        <v>46074.59356731482</v>
      </c>
      <c r="B109" s="7">
        <v>46070.0</v>
      </c>
      <c r="C109" s="8" t="s">
        <v>6</v>
      </c>
      <c r="D109" s="8" t="s">
        <v>7</v>
      </c>
      <c r="F109" s="8" t="s">
        <v>8</v>
      </c>
    </row>
    <row r="110" ht="22.5" customHeight="1">
      <c r="A110" s="6">
        <v>46074.59373787037</v>
      </c>
      <c r="B110" s="7">
        <v>46072.0</v>
      </c>
      <c r="C110" s="8" t="s">
        <v>9</v>
      </c>
      <c r="D110" s="8" t="s">
        <v>7</v>
      </c>
      <c r="F110" s="8" t="s">
        <v>8</v>
      </c>
    </row>
    <row r="111" ht="22.5" customHeight="1">
      <c r="A111" s="6">
        <v>46074.593869432865</v>
      </c>
      <c r="B111" s="7">
        <v>46072.0</v>
      </c>
      <c r="C111" s="8" t="s">
        <v>14</v>
      </c>
      <c r="D111" s="8" t="s">
        <v>7</v>
      </c>
      <c r="F111" s="8" t="s">
        <v>15</v>
      </c>
    </row>
    <row r="112" ht="22.5" customHeight="1">
      <c r="A112" s="6">
        <v>46074.5940036574</v>
      </c>
      <c r="B112" s="7">
        <v>46072.0</v>
      </c>
      <c r="C112" s="8" t="s">
        <v>6</v>
      </c>
      <c r="D112" s="8" t="s">
        <v>7</v>
      </c>
      <c r="F112" s="8" t="s">
        <v>8</v>
      </c>
    </row>
    <row r="113" ht="22.5" customHeight="1">
      <c r="A113" s="6">
        <v>46074.59416170139</v>
      </c>
      <c r="B113" s="7">
        <v>46073.0</v>
      </c>
      <c r="C113" s="8" t="s">
        <v>17</v>
      </c>
      <c r="D113" s="8" t="s">
        <v>7</v>
      </c>
      <c r="F113" s="8" t="s">
        <v>15</v>
      </c>
    </row>
    <row r="114" ht="22.5" customHeight="1">
      <c r="A114" s="6">
        <v>46074.594278819444</v>
      </c>
      <c r="B114" s="7">
        <v>46073.0</v>
      </c>
      <c r="C114" s="8" t="s">
        <v>16</v>
      </c>
      <c r="D114" s="8" t="s">
        <v>7</v>
      </c>
      <c r="F114" s="8" t="s">
        <v>15</v>
      </c>
    </row>
    <row r="115" ht="22.5" customHeight="1">
      <c r="A115" s="6">
        <v>46074.594385902776</v>
      </c>
      <c r="B115" s="7">
        <v>46074.0</v>
      </c>
      <c r="C115" s="8" t="s">
        <v>6</v>
      </c>
      <c r="D115" s="8" t="s">
        <v>7</v>
      </c>
      <c r="F115" s="8" t="s">
        <v>8</v>
      </c>
    </row>
    <row r="116" ht="22.5" customHeight="1">
      <c r="A116" s="6">
        <v>46095.414619641204</v>
      </c>
      <c r="B116" s="7">
        <v>46076.0</v>
      </c>
      <c r="C116" s="8" t="s">
        <v>17</v>
      </c>
      <c r="D116" s="8" t="s">
        <v>7</v>
      </c>
      <c r="F116" s="8" t="s">
        <v>15</v>
      </c>
    </row>
    <row r="117" ht="22.5" customHeight="1">
      <c r="A117" s="6">
        <v>46095.41479976852</v>
      </c>
      <c r="B117" s="7">
        <v>46077.0</v>
      </c>
      <c r="C117" s="8" t="s">
        <v>9</v>
      </c>
      <c r="D117" s="8" t="s">
        <v>7</v>
      </c>
      <c r="F117" s="8" t="s">
        <v>8</v>
      </c>
    </row>
    <row r="118" ht="22.5" customHeight="1">
      <c r="A118" s="6">
        <v>46095.41494930556</v>
      </c>
      <c r="B118" s="7">
        <v>46077.0</v>
      </c>
      <c r="C118" s="8" t="s">
        <v>6</v>
      </c>
      <c r="D118" s="8" t="s">
        <v>7</v>
      </c>
      <c r="F118" s="8" t="s">
        <v>8</v>
      </c>
    </row>
    <row r="119" ht="22.5" customHeight="1">
      <c r="A119" s="6">
        <v>46095.41522001158</v>
      </c>
      <c r="B119" s="7">
        <v>46079.0</v>
      </c>
      <c r="C119" s="8" t="s">
        <v>9</v>
      </c>
      <c r="D119" s="8" t="s">
        <v>7</v>
      </c>
      <c r="F119" s="8" t="s">
        <v>8</v>
      </c>
    </row>
    <row r="120" ht="22.5" customHeight="1">
      <c r="A120" s="6">
        <v>46095.415399317135</v>
      </c>
      <c r="B120" s="7">
        <v>46079.0</v>
      </c>
      <c r="C120" s="8" t="s">
        <v>6</v>
      </c>
      <c r="D120" s="8" t="s">
        <v>7</v>
      </c>
      <c r="F120" s="8" t="s">
        <v>8</v>
      </c>
    </row>
    <row r="121" ht="22.5" customHeight="1">
      <c r="A121" s="6">
        <v>46095.41556729167</v>
      </c>
      <c r="B121" s="7">
        <v>46080.0</v>
      </c>
      <c r="C121" s="8" t="s">
        <v>17</v>
      </c>
      <c r="D121" s="8" t="s">
        <v>7</v>
      </c>
      <c r="F121" s="8" t="s">
        <v>15</v>
      </c>
    </row>
    <row r="122" ht="22.5" customHeight="1">
      <c r="A122" s="6">
        <v>46095.41572113426</v>
      </c>
      <c r="B122" s="7">
        <v>46081.0</v>
      </c>
      <c r="C122" s="8" t="s">
        <v>6</v>
      </c>
      <c r="D122" s="8" t="s">
        <v>7</v>
      </c>
      <c r="F122" s="8" t="s">
        <v>8</v>
      </c>
    </row>
    <row r="123" ht="22.5" customHeight="1">
      <c r="A123" s="6">
        <v>46095.41589363426</v>
      </c>
      <c r="B123" s="7">
        <v>46083.0</v>
      </c>
      <c r="C123" s="8" t="s">
        <v>17</v>
      </c>
      <c r="D123" s="8" t="s">
        <v>7</v>
      </c>
      <c r="F123" s="8" t="s">
        <v>15</v>
      </c>
    </row>
    <row r="124" ht="22.5" customHeight="1">
      <c r="A124" s="6">
        <v>46095.4160977662</v>
      </c>
      <c r="B124" s="7">
        <v>46084.0</v>
      </c>
      <c r="C124" s="8" t="s">
        <v>9</v>
      </c>
      <c r="D124" s="8" t="s">
        <v>7</v>
      </c>
      <c r="F124" s="8" t="s">
        <v>8</v>
      </c>
    </row>
    <row r="125" ht="22.5" customHeight="1">
      <c r="A125" s="6">
        <v>46095.4162503588</v>
      </c>
      <c r="B125" s="7">
        <v>46084.0</v>
      </c>
      <c r="C125" s="8" t="s">
        <v>6</v>
      </c>
      <c r="D125" s="8" t="s">
        <v>7</v>
      </c>
      <c r="F125" s="8" t="s">
        <v>8</v>
      </c>
    </row>
    <row r="126" ht="22.5" customHeight="1">
      <c r="A126" s="6">
        <v>46095.41640398148</v>
      </c>
      <c r="B126" s="7">
        <v>46086.0</v>
      </c>
      <c r="C126" s="8" t="s">
        <v>9</v>
      </c>
      <c r="D126" s="8" t="s">
        <v>7</v>
      </c>
      <c r="F126" s="8" t="s">
        <v>8</v>
      </c>
    </row>
    <row r="127" ht="22.5" customHeight="1">
      <c r="A127" s="6">
        <v>46095.41661847223</v>
      </c>
      <c r="B127" s="7">
        <v>46086.0</v>
      </c>
      <c r="C127" s="8" t="s">
        <v>6</v>
      </c>
      <c r="D127" s="8" t="s">
        <v>7</v>
      </c>
      <c r="F127" s="8" t="s">
        <v>8</v>
      </c>
    </row>
    <row r="128" ht="22.5" customHeight="1">
      <c r="A128" s="6">
        <v>46095.416762002314</v>
      </c>
      <c r="B128" s="7">
        <v>46087.0</v>
      </c>
      <c r="C128" s="8" t="s">
        <v>17</v>
      </c>
      <c r="D128" s="8" t="s">
        <v>7</v>
      </c>
      <c r="F128" s="8" t="s">
        <v>15</v>
      </c>
    </row>
    <row r="129" ht="22.5" customHeight="1">
      <c r="A129" s="6">
        <v>46095.41694351852</v>
      </c>
      <c r="B129" s="7">
        <v>46088.0</v>
      </c>
      <c r="C129" s="8" t="s">
        <v>6</v>
      </c>
      <c r="D129" s="8" t="s">
        <v>7</v>
      </c>
      <c r="F129" s="8" t="s">
        <v>8</v>
      </c>
    </row>
    <row r="130" ht="22.5" customHeight="1">
      <c r="A130" s="6">
        <v>46095.41710868056</v>
      </c>
      <c r="B130" s="7">
        <v>46090.0</v>
      </c>
      <c r="C130" s="8" t="s">
        <v>17</v>
      </c>
      <c r="D130" s="8" t="s">
        <v>7</v>
      </c>
      <c r="F130" s="8" t="s">
        <v>15</v>
      </c>
    </row>
    <row r="131" ht="22.5" customHeight="1">
      <c r="A131" s="6">
        <v>46095.41725817129</v>
      </c>
      <c r="B131" s="7">
        <v>46091.0</v>
      </c>
      <c r="C131" s="8" t="s">
        <v>9</v>
      </c>
      <c r="D131" s="8" t="s">
        <v>7</v>
      </c>
      <c r="F131" s="8" t="s">
        <v>8</v>
      </c>
    </row>
    <row r="132" ht="22.5" customHeight="1">
      <c r="A132" s="6">
        <v>46095.41739731481</v>
      </c>
      <c r="B132" s="7">
        <v>46091.0</v>
      </c>
      <c r="C132" s="8" t="s">
        <v>6</v>
      </c>
      <c r="D132" s="8" t="s">
        <v>7</v>
      </c>
      <c r="F132" s="8" t="s">
        <v>8</v>
      </c>
    </row>
    <row r="133" ht="22.5" customHeight="1">
      <c r="A133" s="6">
        <v>46095.417540787035</v>
      </c>
      <c r="B133" s="7">
        <v>46093.0</v>
      </c>
      <c r="C133" s="8" t="s">
        <v>9</v>
      </c>
      <c r="D133" s="8" t="s">
        <v>7</v>
      </c>
      <c r="F133" s="8" t="s">
        <v>8</v>
      </c>
    </row>
    <row r="134" ht="22.5" customHeight="1">
      <c r="A134" s="6">
        <v>46095.417686597226</v>
      </c>
      <c r="B134" s="7">
        <v>46093.0</v>
      </c>
      <c r="C134" s="8" t="s">
        <v>6</v>
      </c>
      <c r="D134" s="8" t="s">
        <v>7</v>
      </c>
      <c r="F134" s="8" t="s">
        <v>8</v>
      </c>
    </row>
    <row r="135" ht="22.5" customHeight="1">
      <c r="A135" s="6">
        <v>46095.417831203704</v>
      </c>
      <c r="B135" s="7">
        <v>46094.0</v>
      </c>
      <c r="C135" s="8" t="s">
        <v>17</v>
      </c>
      <c r="D135" s="8" t="s">
        <v>7</v>
      </c>
      <c r="F135" s="8" t="s">
        <v>15</v>
      </c>
    </row>
    <row r="136" ht="22.5" customHeight="1">
      <c r="A136" s="6">
        <v>46096.84241600694</v>
      </c>
      <c r="B136" s="7">
        <v>46030.0</v>
      </c>
      <c r="C136" s="8" t="s">
        <v>6</v>
      </c>
      <c r="D136" s="8" t="s">
        <v>7</v>
      </c>
      <c r="F136" s="8" t="s">
        <v>8</v>
      </c>
    </row>
    <row r="137" ht="22.5" customHeight="1">
      <c r="A137" s="6">
        <v>46096.843424502316</v>
      </c>
      <c r="B137" s="7">
        <v>46039.0</v>
      </c>
      <c r="C137" s="8" t="s">
        <v>6</v>
      </c>
      <c r="D137" s="8" t="s">
        <v>7</v>
      </c>
      <c r="F137" s="8" t="s">
        <v>8</v>
      </c>
    </row>
    <row r="138" ht="22.5" customHeight="1">
      <c r="A138" s="6">
        <v>46096.84369555555</v>
      </c>
      <c r="B138" s="7">
        <v>46095.0</v>
      </c>
      <c r="C138" s="8" t="s">
        <v>6</v>
      </c>
      <c r="D138" s="8" t="s">
        <v>7</v>
      </c>
      <c r="F138" s="8" t="s">
        <v>8</v>
      </c>
    </row>
    <row r="139" ht="22.5" customHeight="1">
      <c r="A139" s="6">
        <v>46099.94397153935</v>
      </c>
      <c r="B139" s="7">
        <v>46097.0</v>
      </c>
      <c r="C139" s="8" t="s">
        <v>17</v>
      </c>
      <c r="D139" s="8" t="s">
        <v>7</v>
      </c>
      <c r="F139" s="8" t="s">
        <v>15</v>
      </c>
    </row>
    <row r="140" ht="22.5" customHeight="1">
      <c r="A140" s="6">
        <v>46099.94420799769</v>
      </c>
      <c r="B140" s="7">
        <v>46098.0</v>
      </c>
      <c r="C140" s="8" t="s">
        <v>9</v>
      </c>
      <c r="D140" s="8" t="s">
        <v>19</v>
      </c>
      <c r="E140" s="8" t="s">
        <v>25</v>
      </c>
      <c r="F140" s="8" t="s">
        <v>8</v>
      </c>
    </row>
    <row r="141" ht="22.5" customHeight="1">
      <c r="A141" s="6">
        <v>46099.944391805555</v>
      </c>
      <c r="B141" s="7">
        <v>46098.0</v>
      </c>
      <c r="C141" s="8" t="s">
        <v>6</v>
      </c>
      <c r="D141" s="8" t="s">
        <v>7</v>
      </c>
      <c r="F141" s="8" t="s">
        <v>8</v>
      </c>
    </row>
    <row r="142" ht="22.5" customHeight="1">
      <c r="A142" s="6">
        <v>46099.94459344907</v>
      </c>
      <c r="B142" s="7">
        <v>46100.0</v>
      </c>
      <c r="C142" s="8" t="s">
        <v>9</v>
      </c>
      <c r="D142" s="8" t="s">
        <v>19</v>
      </c>
      <c r="E142" s="8" t="s">
        <v>25</v>
      </c>
      <c r="F142" s="8" t="s">
        <v>8</v>
      </c>
    </row>
    <row r="143" ht="22.5" customHeight="1">
      <c r="A143" s="6">
        <v>46101.590383310184</v>
      </c>
      <c r="B143" s="7">
        <v>46100.0</v>
      </c>
      <c r="C143" s="8" t="s">
        <v>6</v>
      </c>
      <c r="D143" s="8" t="s">
        <v>7</v>
      </c>
      <c r="F143" s="8" t="s">
        <v>8</v>
      </c>
    </row>
    <row r="144" ht="22.5" customHeight="1">
      <c r="A144" s="6">
        <v>46104.551002175926</v>
      </c>
      <c r="B144" s="7">
        <v>46101.0</v>
      </c>
      <c r="C144" s="8" t="s">
        <v>17</v>
      </c>
      <c r="D144" s="8" t="s">
        <v>7</v>
      </c>
      <c r="F144" s="8" t="s">
        <v>15</v>
      </c>
    </row>
    <row r="145" ht="22.5" customHeight="1">
      <c r="A145" s="6">
        <v>46104.55113807871</v>
      </c>
      <c r="B145" s="7">
        <v>46102.0</v>
      </c>
      <c r="C145" s="8" t="s">
        <v>6</v>
      </c>
      <c r="D145" s="8" t="s">
        <v>7</v>
      </c>
      <c r="F145" s="8" t="s">
        <v>8</v>
      </c>
    </row>
    <row r="146" ht="22.5" customHeight="1">
      <c r="A146" s="6">
        <v>46106.6268021412</v>
      </c>
      <c r="B146" s="7">
        <v>46104.0</v>
      </c>
      <c r="C146" s="8" t="s">
        <v>17</v>
      </c>
      <c r="D146" s="8" t="s">
        <v>7</v>
      </c>
      <c r="F146" s="8" t="s">
        <v>15</v>
      </c>
    </row>
    <row r="147" ht="22.5" customHeight="1">
      <c r="A147" s="6">
        <v>46106.62694084491</v>
      </c>
      <c r="B147" s="7">
        <v>46105.0</v>
      </c>
      <c r="C147" s="8" t="s">
        <v>9</v>
      </c>
      <c r="D147" s="8" t="s">
        <v>7</v>
      </c>
      <c r="F147" s="8" t="s">
        <v>8</v>
      </c>
    </row>
    <row r="148" ht="22.5" customHeight="1">
      <c r="A148" s="6">
        <v>46106.62713861111</v>
      </c>
      <c r="B148" s="7">
        <v>46105.0</v>
      </c>
      <c r="C148" s="8" t="s">
        <v>6</v>
      </c>
      <c r="D148" s="8" t="s">
        <v>12</v>
      </c>
      <c r="E148" s="8" t="s">
        <v>26</v>
      </c>
      <c r="F148" s="8" t="s">
        <v>8</v>
      </c>
    </row>
    <row r="149" ht="22.5" customHeight="1">
      <c r="A149" s="6">
        <v>46111.77586489583</v>
      </c>
      <c r="B149" s="7">
        <v>46107.0</v>
      </c>
      <c r="C149" s="8" t="s">
        <v>9</v>
      </c>
      <c r="D149" s="8" t="s">
        <v>7</v>
      </c>
      <c r="F149" s="8" t="s">
        <v>8</v>
      </c>
    </row>
    <row r="150" ht="22.5" customHeight="1">
      <c r="A150" s="6">
        <v>46111.776058981486</v>
      </c>
      <c r="B150" s="7">
        <v>46107.0</v>
      </c>
      <c r="C150" s="8" t="s">
        <v>6</v>
      </c>
      <c r="D150" s="8" t="s">
        <v>7</v>
      </c>
      <c r="F150" s="8" t="s">
        <v>8</v>
      </c>
    </row>
    <row r="151" ht="22.5" customHeight="1">
      <c r="A151" s="6">
        <v>46111.7762216088</v>
      </c>
      <c r="B151" s="7">
        <v>46108.0</v>
      </c>
      <c r="C151" s="8" t="s">
        <v>17</v>
      </c>
      <c r="D151" s="8" t="s">
        <v>7</v>
      </c>
      <c r="F151" s="8" t="s">
        <v>15</v>
      </c>
    </row>
    <row r="152" ht="22.5" customHeight="1">
      <c r="A152" s="6">
        <v>46111.7763633912</v>
      </c>
      <c r="B152" s="7">
        <v>46109.0</v>
      </c>
      <c r="C152" s="8" t="s">
        <v>6</v>
      </c>
      <c r="D152" s="8" t="s">
        <v>7</v>
      </c>
      <c r="F152" s="8" t="s">
        <v>8</v>
      </c>
    </row>
    <row r="153" ht="22.5" customHeight="1">
      <c r="A153" s="6">
        <v>46111.77650707176</v>
      </c>
      <c r="B153" s="7">
        <v>46111.0</v>
      </c>
      <c r="C153" s="8" t="s">
        <v>17</v>
      </c>
      <c r="D153" s="8" t="s">
        <v>7</v>
      </c>
      <c r="F153" s="8" t="s">
        <v>15</v>
      </c>
    </row>
    <row r="154" ht="22.5" customHeight="1">
      <c r="A154" s="6">
        <v>46114.4116515162</v>
      </c>
      <c r="B154" s="7">
        <v>46112.0</v>
      </c>
      <c r="C154" s="8" t="s">
        <v>9</v>
      </c>
      <c r="D154" s="8" t="s">
        <v>7</v>
      </c>
      <c r="F154" s="8" t="s">
        <v>8</v>
      </c>
    </row>
    <row r="155" ht="22.5" customHeight="1">
      <c r="A155" s="6">
        <v>46114.41343313658</v>
      </c>
      <c r="B155" s="7">
        <v>46112.0</v>
      </c>
      <c r="C155" s="8" t="s">
        <v>6</v>
      </c>
      <c r="D155" s="8" t="s">
        <v>7</v>
      </c>
      <c r="F155" s="8" t="s">
        <v>8</v>
      </c>
    </row>
    <row r="156" ht="22.5" customHeight="1">
      <c r="A156" s="6">
        <v>46114.417460682875</v>
      </c>
      <c r="B156" s="7">
        <v>46113.0</v>
      </c>
      <c r="C156" s="8" t="s">
        <v>6</v>
      </c>
      <c r="D156" s="8" t="s">
        <v>7</v>
      </c>
      <c r="E156" s="8" t="s">
        <v>27</v>
      </c>
      <c r="F156" s="8" t="s">
        <v>8</v>
      </c>
    </row>
    <row r="157" ht="22.5" customHeight="1">
      <c r="A157" s="6">
        <v>46114.41767016204</v>
      </c>
      <c r="B157" s="7">
        <v>46113.0</v>
      </c>
      <c r="C157" s="8" t="s">
        <v>6</v>
      </c>
      <c r="D157" s="8" t="s">
        <v>7</v>
      </c>
      <c r="E157" s="8" t="s">
        <v>27</v>
      </c>
      <c r="F157" s="8" t="s">
        <v>8</v>
      </c>
    </row>
    <row r="158" ht="22.5" customHeight="1">
      <c r="A158" s="6">
        <v>46121.81402513889</v>
      </c>
      <c r="B158" s="7">
        <v>46114.0</v>
      </c>
      <c r="C158" s="8" t="s">
        <v>9</v>
      </c>
      <c r="D158" s="8" t="s">
        <v>7</v>
      </c>
      <c r="F158" s="8" t="s">
        <v>8</v>
      </c>
    </row>
    <row r="159" ht="22.5" customHeight="1">
      <c r="A159" s="6">
        <v>46121.81416175926</v>
      </c>
      <c r="B159" s="7">
        <v>46114.0</v>
      </c>
      <c r="C159" s="8" t="s">
        <v>6</v>
      </c>
      <c r="D159" s="8" t="s">
        <v>7</v>
      </c>
      <c r="F159" s="8" t="s">
        <v>8</v>
      </c>
    </row>
    <row r="160" ht="22.5" customHeight="1">
      <c r="A160" s="6">
        <v>46121.8143290625</v>
      </c>
      <c r="B160" s="7">
        <v>46115.0</v>
      </c>
      <c r="C160" s="8" t="s">
        <v>17</v>
      </c>
      <c r="D160" s="8" t="s">
        <v>7</v>
      </c>
      <c r="F160" s="8" t="s">
        <v>15</v>
      </c>
    </row>
    <row r="161" ht="22.5" customHeight="1">
      <c r="A161" s="6">
        <v>46121.81447519676</v>
      </c>
      <c r="B161" s="7">
        <v>46116.0</v>
      </c>
      <c r="C161" s="8" t="s">
        <v>6</v>
      </c>
      <c r="D161" s="8" t="s">
        <v>7</v>
      </c>
      <c r="F161" s="8" t="s">
        <v>8</v>
      </c>
    </row>
    <row r="162" ht="22.5" customHeight="1">
      <c r="A162" s="6">
        <v>46121.81464090278</v>
      </c>
      <c r="B162" s="7">
        <v>46118.0</v>
      </c>
      <c r="C162" s="8" t="s">
        <v>17</v>
      </c>
      <c r="D162" s="8" t="s">
        <v>7</v>
      </c>
      <c r="F162" s="8" t="s">
        <v>15</v>
      </c>
    </row>
    <row r="163" ht="22.5" customHeight="1">
      <c r="A163" s="6">
        <v>46121.814783622685</v>
      </c>
      <c r="B163" s="7">
        <v>46119.0</v>
      </c>
      <c r="C163" s="8" t="s">
        <v>9</v>
      </c>
      <c r="D163" s="8" t="s">
        <v>7</v>
      </c>
      <c r="F163" s="8" t="s">
        <v>8</v>
      </c>
    </row>
    <row r="164" ht="22.5" customHeight="1">
      <c r="A164" s="6">
        <v>46121.81491959491</v>
      </c>
      <c r="B164" s="7">
        <v>46119.0</v>
      </c>
      <c r="C164" s="8" t="s">
        <v>6</v>
      </c>
      <c r="D164" s="8" t="s">
        <v>7</v>
      </c>
      <c r="F164" s="8" t="s">
        <v>8</v>
      </c>
    </row>
    <row r="165" ht="22.5" customHeight="1">
      <c r="A165" s="6">
        <v>46121.815086296294</v>
      </c>
      <c r="B165" s="7">
        <v>46121.0</v>
      </c>
      <c r="C165" s="8" t="s">
        <v>9</v>
      </c>
      <c r="D165" s="8" t="s">
        <v>7</v>
      </c>
      <c r="F165" s="8" t="s">
        <v>8</v>
      </c>
    </row>
    <row r="166" ht="22.5" customHeight="1">
      <c r="A166" s="6">
        <v>46121.81519799768</v>
      </c>
      <c r="B166" s="7">
        <v>46121.0</v>
      </c>
      <c r="C166" s="8" t="s">
        <v>6</v>
      </c>
      <c r="D166" s="8" t="s">
        <v>7</v>
      </c>
      <c r="F166" s="8" t="s">
        <v>8</v>
      </c>
    </row>
    <row r="167" ht="22.5" customHeight="1">
      <c r="A167" s="6">
        <v>46131.420955231486</v>
      </c>
      <c r="B167" s="7">
        <v>46123.0</v>
      </c>
      <c r="C167" s="8" t="s">
        <v>6</v>
      </c>
      <c r="D167" s="8" t="s">
        <v>7</v>
      </c>
      <c r="F167" s="8" t="s">
        <v>8</v>
      </c>
    </row>
    <row r="168" ht="22.5" customHeight="1">
      <c r="A168" s="6">
        <v>46131.42156314815</v>
      </c>
      <c r="B168" s="7">
        <v>46122.0</v>
      </c>
      <c r="C168" s="8" t="s">
        <v>17</v>
      </c>
      <c r="D168" s="8" t="s">
        <v>7</v>
      </c>
      <c r="F168" s="8" t="s">
        <v>15</v>
      </c>
    </row>
    <row r="169" ht="22.5" customHeight="1">
      <c r="A169" s="6">
        <v>46131.42193670139</v>
      </c>
      <c r="B169" s="7">
        <v>46125.0</v>
      </c>
      <c r="C169" s="8" t="s">
        <v>17</v>
      </c>
      <c r="D169" s="8" t="s">
        <v>7</v>
      </c>
      <c r="F169" s="8" t="s">
        <v>15</v>
      </c>
    </row>
    <row r="170" ht="22.5" customHeight="1">
      <c r="A170" s="6">
        <v>46131.422289050926</v>
      </c>
      <c r="B170" s="7">
        <v>46126.0</v>
      </c>
      <c r="C170" s="8" t="s">
        <v>9</v>
      </c>
      <c r="D170" s="8" t="s">
        <v>7</v>
      </c>
      <c r="F170" s="8" t="s">
        <v>8</v>
      </c>
    </row>
    <row r="171" ht="22.5" customHeight="1">
      <c r="A171" s="6">
        <v>46131.422602754625</v>
      </c>
      <c r="B171" s="7">
        <v>46126.0</v>
      </c>
      <c r="C171" s="8" t="s">
        <v>6</v>
      </c>
      <c r="D171" s="8" t="s">
        <v>7</v>
      </c>
      <c r="F171" s="8" t="s">
        <v>8</v>
      </c>
    </row>
    <row r="172" ht="22.5" customHeight="1">
      <c r="A172" s="6">
        <v>46131.42298123843</v>
      </c>
      <c r="B172" s="7">
        <v>46128.0</v>
      </c>
      <c r="C172" s="8" t="s">
        <v>9</v>
      </c>
      <c r="D172" s="8" t="s">
        <v>7</v>
      </c>
      <c r="F172" s="8" t="s">
        <v>8</v>
      </c>
    </row>
    <row r="173" ht="22.5" customHeight="1">
      <c r="A173" s="6">
        <v>46131.423332962964</v>
      </c>
      <c r="B173" s="7">
        <v>46128.0</v>
      </c>
      <c r="C173" s="8" t="s">
        <v>6</v>
      </c>
      <c r="D173" s="8" t="s">
        <v>7</v>
      </c>
      <c r="F173" s="8" t="s">
        <v>8</v>
      </c>
    </row>
    <row r="174" ht="22.5" customHeight="1">
      <c r="A174" s="6">
        <v>46131.42362990741</v>
      </c>
      <c r="B174" s="7">
        <v>46129.0</v>
      </c>
      <c r="C174" s="8" t="s">
        <v>17</v>
      </c>
      <c r="D174" s="8" t="s">
        <v>7</v>
      </c>
      <c r="F174" s="8" t="s">
        <v>15</v>
      </c>
    </row>
    <row r="175" ht="22.5" customHeight="1">
      <c r="A175" s="6">
        <v>46131.424260706015</v>
      </c>
      <c r="B175" s="7">
        <v>46130.0</v>
      </c>
      <c r="C175" s="8" t="s">
        <v>6</v>
      </c>
      <c r="D175" s="8" t="s">
        <v>12</v>
      </c>
      <c r="E175" s="8" t="s">
        <v>28</v>
      </c>
      <c r="F175" s="8" t="s">
        <v>8</v>
      </c>
    </row>
    <row r="176" ht="22.5" customHeight="1">
      <c r="A176" s="6">
        <v>46168.87496127315</v>
      </c>
      <c r="B176" s="7">
        <v>46132.0</v>
      </c>
      <c r="C176" s="8" t="s">
        <v>17</v>
      </c>
      <c r="D176" s="8" t="s">
        <v>7</v>
      </c>
      <c r="F176" s="8" t="s">
        <v>15</v>
      </c>
    </row>
    <row r="177" ht="22.5" customHeight="1">
      <c r="A177" s="6">
        <v>46168.87517295139</v>
      </c>
      <c r="B177" s="7">
        <v>46133.0</v>
      </c>
      <c r="C177" s="8" t="s">
        <v>9</v>
      </c>
      <c r="D177" s="8" t="s">
        <v>7</v>
      </c>
      <c r="F177" s="8" t="s">
        <v>8</v>
      </c>
    </row>
    <row r="178" ht="22.5" customHeight="1">
      <c r="A178" s="6">
        <v>46168.87540574074</v>
      </c>
      <c r="B178" s="7">
        <v>46133.0</v>
      </c>
      <c r="C178" s="8" t="s">
        <v>6</v>
      </c>
      <c r="D178" s="8" t="s">
        <v>7</v>
      </c>
      <c r="F178" s="8" t="s">
        <v>8</v>
      </c>
    </row>
    <row r="179" ht="22.5" customHeight="1">
      <c r="A179" s="6">
        <v>46168.87562950232</v>
      </c>
      <c r="B179" s="7">
        <v>46135.0</v>
      </c>
      <c r="C179" s="8" t="s">
        <v>9</v>
      </c>
      <c r="D179" s="8" t="s">
        <v>7</v>
      </c>
      <c r="F179" s="8" t="s">
        <v>8</v>
      </c>
    </row>
    <row r="180" ht="22.5" customHeight="1">
      <c r="A180" s="6">
        <v>46168.875803159724</v>
      </c>
      <c r="B180" s="7">
        <v>46135.0</v>
      </c>
      <c r="C180" s="8" t="s">
        <v>6</v>
      </c>
      <c r="D180" s="8" t="s">
        <v>7</v>
      </c>
      <c r="F180" s="8" t="s">
        <v>8</v>
      </c>
    </row>
    <row r="181" ht="22.5" customHeight="1">
      <c r="A181" s="6">
        <v>46168.87601168982</v>
      </c>
      <c r="B181" s="7">
        <v>46137.0</v>
      </c>
      <c r="C181" s="8" t="s">
        <v>6</v>
      </c>
      <c r="D181" s="8" t="s">
        <v>7</v>
      </c>
      <c r="F181" s="8" t="s">
        <v>8</v>
      </c>
    </row>
    <row r="182" ht="22.5" customHeight="1">
      <c r="A182" s="6">
        <v>46168.87618252315</v>
      </c>
      <c r="B182" s="7">
        <v>46136.0</v>
      </c>
      <c r="C182" s="8" t="s">
        <v>17</v>
      </c>
      <c r="D182" s="8" t="s">
        <v>7</v>
      </c>
      <c r="F182" s="8" t="s">
        <v>15</v>
      </c>
    </row>
    <row r="183" ht="22.5" customHeight="1">
      <c r="A183" s="6">
        <v>46168.87647584491</v>
      </c>
      <c r="B183" s="7">
        <v>46139.0</v>
      </c>
      <c r="C183" s="8" t="s">
        <v>17</v>
      </c>
      <c r="D183" s="8" t="s">
        <v>7</v>
      </c>
      <c r="F183" s="8" t="s">
        <v>15</v>
      </c>
    </row>
    <row r="184" ht="22.5" customHeight="1">
      <c r="A184" s="6">
        <v>46168.876654085645</v>
      </c>
      <c r="B184" s="7">
        <v>46140.0</v>
      </c>
      <c r="C184" s="8" t="s">
        <v>9</v>
      </c>
      <c r="D184" s="8" t="s">
        <v>7</v>
      </c>
      <c r="F184" s="8" t="s">
        <v>8</v>
      </c>
    </row>
    <row r="185" ht="22.5" customHeight="1">
      <c r="A185" s="6">
        <v>46168.87680831019</v>
      </c>
      <c r="B185" s="7">
        <v>46140.0</v>
      </c>
      <c r="C185" s="8" t="s">
        <v>6</v>
      </c>
      <c r="D185" s="8" t="s">
        <v>7</v>
      </c>
      <c r="F185" s="8" t="s">
        <v>8</v>
      </c>
    </row>
    <row r="186" ht="22.5" customHeight="1">
      <c r="A186" s="6">
        <v>46168.87709893519</v>
      </c>
      <c r="B186" s="7">
        <v>46142.0</v>
      </c>
      <c r="C186" s="8" t="s">
        <v>9</v>
      </c>
      <c r="D186" s="8" t="s">
        <v>7</v>
      </c>
      <c r="F186" s="8" t="s">
        <v>8</v>
      </c>
    </row>
    <row r="187" ht="22.5" customHeight="1">
      <c r="A187" s="6">
        <v>46168.87725738426</v>
      </c>
      <c r="B187" s="7">
        <v>46142.0</v>
      </c>
      <c r="C187" s="8" t="s">
        <v>6</v>
      </c>
      <c r="D187" s="8" t="s">
        <v>7</v>
      </c>
      <c r="F187" s="8" t="s">
        <v>8</v>
      </c>
    </row>
    <row r="188" ht="22.5" customHeight="1">
      <c r="A188" s="6">
        <v>46168.87743474537</v>
      </c>
      <c r="B188" s="7">
        <v>46143.0</v>
      </c>
      <c r="C188" s="8" t="s">
        <v>17</v>
      </c>
      <c r="D188" s="8" t="s">
        <v>7</v>
      </c>
      <c r="F188" s="8" t="s">
        <v>15</v>
      </c>
    </row>
    <row r="189" ht="22.5" customHeight="1">
      <c r="A189" s="6">
        <v>46168.87760101852</v>
      </c>
      <c r="B189" s="7">
        <v>46144.0</v>
      </c>
      <c r="C189" s="8" t="s">
        <v>6</v>
      </c>
      <c r="D189" s="8" t="s">
        <v>7</v>
      </c>
      <c r="F189" s="8" t="s">
        <v>8</v>
      </c>
    </row>
    <row r="190" ht="22.5" customHeight="1">
      <c r="A190" s="6">
        <v>46168.87777212963</v>
      </c>
      <c r="B190" s="7">
        <v>46146.0</v>
      </c>
      <c r="C190" s="8" t="s">
        <v>17</v>
      </c>
      <c r="D190" s="8" t="s">
        <v>7</v>
      </c>
      <c r="F190" s="8" t="s">
        <v>15</v>
      </c>
    </row>
    <row r="191" ht="22.5" customHeight="1">
      <c r="A191" s="6">
        <v>46168.87798123843</v>
      </c>
      <c r="B191" s="7">
        <v>46147.0</v>
      </c>
      <c r="C191" s="8" t="s">
        <v>9</v>
      </c>
      <c r="D191" s="8" t="s">
        <v>7</v>
      </c>
      <c r="F191" s="8" t="s">
        <v>8</v>
      </c>
    </row>
    <row r="192" ht="22.5" customHeight="1">
      <c r="A192" s="6">
        <v>46168.878098437504</v>
      </c>
      <c r="B192" s="7">
        <v>46147.0</v>
      </c>
      <c r="C192" s="8" t="s">
        <v>6</v>
      </c>
      <c r="D192" s="8" t="s">
        <v>7</v>
      </c>
      <c r="F192" s="8" t="s">
        <v>8</v>
      </c>
    </row>
    <row r="193" ht="22.5" customHeight="1">
      <c r="A193" s="6">
        <v>46168.87827453704</v>
      </c>
      <c r="B193" s="7">
        <v>46149.0</v>
      </c>
      <c r="C193" s="8" t="s">
        <v>9</v>
      </c>
      <c r="D193" s="8" t="s">
        <v>7</v>
      </c>
      <c r="F193" s="8" t="s">
        <v>8</v>
      </c>
    </row>
    <row r="194" ht="22.5" customHeight="1">
      <c r="A194" s="6">
        <v>46168.878462187495</v>
      </c>
      <c r="B194" s="7">
        <v>46149.0</v>
      </c>
      <c r="C194" s="8" t="s">
        <v>6</v>
      </c>
      <c r="D194" s="8" t="s">
        <v>7</v>
      </c>
      <c r="F194" s="8" t="s">
        <v>8</v>
      </c>
    </row>
    <row r="195" ht="22.5" customHeight="1">
      <c r="A195" s="6">
        <v>46168.87861181713</v>
      </c>
      <c r="B195" s="7">
        <v>46150.0</v>
      </c>
      <c r="C195" s="8" t="s">
        <v>17</v>
      </c>
      <c r="D195" s="8" t="s">
        <v>7</v>
      </c>
      <c r="F195" s="8" t="s">
        <v>15</v>
      </c>
    </row>
    <row r="196" ht="22.5" customHeight="1">
      <c r="A196" s="6">
        <v>46168.87878994213</v>
      </c>
      <c r="B196" s="7">
        <v>46151.0</v>
      </c>
      <c r="C196" s="8" t="s">
        <v>6</v>
      </c>
      <c r="D196" s="8" t="s">
        <v>7</v>
      </c>
      <c r="F196" s="8" t="s">
        <v>8</v>
      </c>
    </row>
    <row r="197" ht="22.5" customHeight="1">
      <c r="A197" s="6">
        <v>46168.878942511576</v>
      </c>
      <c r="B197" s="7">
        <v>46153.0</v>
      </c>
      <c r="C197" s="8" t="s">
        <v>17</v>
      </c>
      <c r="D197" s="8" t="s">
        <v>7</v>
      </c>
      <c r="F197" s="8" t="s">
        <v>15</v>
      </c>
    </row>
    <row r="198" ht="22.5" customHeight="1">
      <c r="A198" s="6">
        <v>46168.87908483796</v>
      </c>
      <c r="B198" s="7">
        <v>46154.0</v>
      </c>
      <c r="C198" s="8" t="s">
        <v>9</v>
      </c>
      <c r="D198" s="8" t="s">
        <v>7</v>
      </c>
      <c r="F198" s="8" t="s">
        <v>8</v>
      </c>
    </row>
    <row r="199" ht="22.5" customHeight="1">
      <c r="A199" s="6">
        <v>46168.87963012731</v>
      </c>
      <c r="B199" s="7">
        <v>46154.0</v>
      </c>
      <c r="C199" s="8" t="s">
        <v>6</v>
      </c>
      <c r="D199" s="8" t="s">
        <v>7</v>
      </c>
      <c r="F199" s="8" t="s">
        <v>8</v>
      </c>
    </row>
    <row r="200" ht="22.5" customHeight="1">
      <c r="A200" s="6">
        <v>46168.879784606484</v>
      </c>
      <c r="B200" s="7">
        <v>46156.0</v>
      </c>
      <c r="C200" s="8" t="s">
        <v>9</v>
      </c>
      <c r="D200" s="8" t="s">
        <v>7</v>
      </c>
      <c r="F200" s="8" t="s">
        <v>8</v>
      </c>
    </row>
    <row r="201" ht="22.5" customHeight="1">
      <c r="A201" s="6">
        <v>46168.87994050926</v>
      </c>
      <c r="B201" s="7">
        <v>46156.0</v>
      </c>
      <c r="C201" s="8" t="s">
        <v>6</v>
      </c>
      <c r="D201" s="8" t="s">
        <v>7</v>
      </c>
      <c r="F201" s="8" t="s">
        <v>8</v>
      </c>
    </row>
    <row r="202" ht="22.5" customHeight="1">
      <c r="A202" s="6">
        <v>46168.88008855324</v>
      </c>
      <c r="B202" s="7">
        <v>46157.0</v>
      </c>
      <c r="C202" s="8" t="s">
        <v>17</v>
      </c>
      <c r="D202" s="8" t="s">
        <v>7</v>
      </c>
      <c r="F202" s="8" t="s">
        <v>15</v>
      </c>
    </row>
    <row r="203" ht="22.5" customHeight="1">
      <c r="A203" s="6">
        <v>46168.88034233796</v>
      </c>
      <c r="B203" s="7">
        <v>46158.0</v>
      </c>
      <c r="C203" s="8" t="s">
        <v>6</v>
      </c>
      <c r="D203" s="8" t="s">
        <v>7</v>
      </c>
      <c r="F203" s="8" t="s">
        <v>8</v>
      </c>
    </row>
    <row r="204" ht="22.5" customHeight="1">
      <c r="A204" s="6">
        <v>46168.880476886574</v>
      </c>
      <c r="B204" s="7">
        <v>46160.0</v>
      </c>
      <c r="C204" s="8" t="s">
        <v>17</v>
      </c>
      <c r="D204" s="8" t="s">
        <v>7</v>
      </c>
      <c r="F204" s="8" t="s">
        <v>15</v>
      </c>
    </row>
    <row r="205" ht="22.5" customHeight="1">
      <c r="A205" s="6">
        <v>46168.88065144676</v>
      </c>
      <c r="B205" s="7">
        <v>46161.0</v>
      </c>
      <c r="C205" s="8" t="s">
        <v>9</v>
      </c>
      <c r="D205" s="8" t="s">
        <v>7</v>
      </c>
      <c r="F205" s="8" t="s">
        <v>8</v>
      </c>
    </row>
    <row r="206" ht="22.5" customHeight="1">
      <c r="A206" s="6">
        <v>46168.88079678241</v>
      </c>
      <c r="B206" s="7">
        <v>46161.0</v>
      </c>
      <c r="C206" s="8" t="s">
        <v>6</v>
      </c>
      <c r="D206" s="8" t="s">
        <v>7</v>
      </c>
      <c r="F206" s="8" t="s">
        <v>8</v>
      </c>
    </row>
    <row r="207" ht="22.5" customHeight="1">
      <c r="A207" s="6">
        <v>46168.88098787037</v>
      </c>
      <c r="B207" s="7">
        <v>46163.0</v>
      </c>
      <c r="C207" s="8" t="s">
        <v>9</v>
      </c>
      <c r="D207" s="8" t="s">
        <v>12</v>
      </c>
      <c r="E207" s="8" t="s">
        <v>24</v>
      </c>
      <c r="F207" s="8" t="s">
        <v>8</v>
      </c>
    </row>
    <row r="208" ht="22.5" customHeight="1">
      <c r="A208" s="6">
        <v>46168.881153912036</v>
      </c>
      <c r="B208" s="7">
        <v>46163.0</v>
      </c>
      <c r="C208" s="8" t="s">
        <v>6</v>
      </c>
      <c r="D208" s="8" t="s">
        <v>12</v>
      </c>
      <c r="E208" s="8" t="s">
        <v>24</v>
      </c>
      <c r="F208" s="8" t="s">
        <v>8</v>
      </c>
    </row>
    <row r="209" ht="22.5" customHeight="1">
      <c r="A209" s="6">
        <v>46168.88135039352</v>
      </c>
      <c r="B209" s="7">
        <v>46164.0</v>
      </c>
      <c r="C209" s="8" t="s">
        <v>17</v>
      </c>
      <c r="D209" s="8" t="s">
        <v>7</v>
      </c>
      <c r="F209" s="8" t="s">
        <v>15</v>
      </c>
    </row>
    <row r="210" ht="22.5" customHeight="1">
      <c r="A210" s="6">
        <v>46168.8827821875</v>
      </c>
      <c r="B210" s="7">
        <v>46165.0</v>
      </c>
      <c r="C210" s="8" t="s">
        <v>6</v>
      </c>
      <c r="D210" s="8" t="s">
        <v>12</v>
      </c>
      <c r="E210" s="8" t="s">
        <v>24</v>
      </c>
      <c r="F210" s="8" t="s">
        <v>8</v>
      </c>
    </row>
    <row r="211" ht="22.5" customHeight="1">
      <c r="A211" s="6">
        <v>46168.88293328704</v>
      </c>
      <c r="B211" s="7">
        <v>46167.0</v>
      </c>
      <c r="C211" s="8" t="s">
        <v>17</v>
      </c>
      <c r="D211" s="8" t="s">
        <v>7</v>
      </c>
      <c r="F211" s="8" t="s">
        <v>15</v>
      </c>
    </row>
    <row r="212" ht="22.5" customHeight="1">
      <c r="A212" s="6">
        <v>46168.88312096064</v>
      </c>
      <c r="B212" s="7">
        <v>46168.0</v>
      </c>
      <c r="C212" s="8" t="s">
        <v>9</v>
      </c>
      <c r="D212" s="8" t="s">
        <v>12</v>
      </c>
      <c r="E212" s="8" t="s">
        <v>24</v>
      </c>
      <c r="F212" s="8" t="s">
        <v>8</v>
      </c>
    </row>
    <row r="213" ht="22.5" customHeight="1">
      <c r="A213" s="6">
        <v>46168.88327777778</v>
      </c>
      <c r="B213" s="7">
        <v>46168.0</v>
      </c>
      <c r="C213" s="8" t="s">
        <v>6</v>
      </c>
      <c r="D213" s="8" t="s">
        <v>12</v>
      </c>
      <c r="E213" s="8" t="s">
        <v>24</v>
      </c>
      <c r="F213" s="8" t="s">
        <v>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5.75"/>
    <col customWidth="1" min="4" max="4" width="13.75"/>
    <col customWidth="1" min="5" max="5" width="14.63"/>
    <col customWidth="1" min="6" max="6" width="18.0"/>
    <col customWidth="1" min="7" max="7" width="22.63"/>
  </cols>
  <sheetData>
    <row r="1" ht="22.5" customHeight="1">
      <c r="A1" s="9" t="s">
        <v>5</v>
      </c>
      <c r="B1" s="9" t="s">
        <v>2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</row>
    <row r="2" ht="22.5" customHeight="1">
      <c r="A2" s="10" t="s">
        <v>8</v>
      </c>
      <c r="B2" s="10" t="s">
        <v>6</v>
      </c>
      <c r="C2" s="11">
        <f>sumifs(payments!D:D, payments!B:B, A2, payments!C:C, B2)</f>
        <v>72</v>
      </c>
      <c r="D2" s="11">
        <f>COUNTIFS(visitsform!C:C, B2, visitsform!D:D, "проведено", visitsform!F:F, A2)</f>
        <v>68</v>
      </c>
      <c r="E2" s="11">
        <f t="shared" ref="E2:E15" si="1">C2-D2</f>
        <v>4</v>
      </c>
      <c r="F2" s="8">
        <v>150.0</v>
      </c>
      <c r="G2" s="11"/>
    </row>
    <row r="3" ht="22.5" customHeight="1">
      <c r="A3" s="10" t="s">
        <v>8</v>
      </c>
      <c r="B3" s="10" t="s">
        <v>9</v>
      </c>
      <c r="C3" s="11">
        <f>sumifs(payments!D:D, payments!B:B, A3, payments!C:C, B3)</f>
        <v>48</v>
      </c>
      <c r="D3" s="11">
        <f>COUNTIFS(visitsform!C:C, B3, visitsform!D:D, "проведено", visitsform!F:F, A3)</f>
        <v>47</v>
      </c>
      <c r="E3" s="11">
        <f t="shared" si="1"/>
        <v>1</v>
      </c>
      <c r="F3" s="8">
        <v>350.0</v>
      </c>
      <c r="G3" s="11"/>
    </row>
    <row r="4" ht="22.5" customHeight="1">
      <c r="A4" s="10" t="s">
        <v>15</v>
      </c>
      <c r="B4" s="10" t="s">
        <v>14</v>
      </c>
      <c r="C4" s="11">
        <f>sumifs(payments!D:D, payments!B:B, A4, payments!C:C, B4)</f>
        <v>20</v>
      </c>
      <c r="D4" s="11">
        <f>COUNTIFS(visitsform!C:C, B4, visitsform!D:D, "проведено", visitsform!F:F, A4)</f>
        <v>20</v>
      </c>
      <c r="E4" s="11">
        <f t="shared" si="1"/>
        <v>0</v>
      </c>
      <c r="F4" s="8">
        <v>550.0</v>
      </c>
      <c r="G4" s="12"/>
    </row>
    <row r="5" ht="22.5" customHeight="1">
      <c r="A5" s="10" t="s">
        <v>15</v>
      </c>
      <c r="B5" s="10" t="s">
        <v>16</v>
      </c>
      <c r="C5" s="11">
        <f>sumifs(payments!D:D, payments!B:B, A5, payments!C:C, B5)</f>
        <v>12</v>
      </c>
      <c r="D5" s="11">
        <f>COUNTIFS(visitsform!C:C, B5, visitsform!D:D, "проведено", visitsform!F:F, A5)</f>
        <v>12</v>
      </c>
      <c r="E5" s="11">
        <f t="shared" si="1"/>
        <v>0</v>
      </c>
      <c r="F5" s="8">
        <v>1400.0</v>
      </c>
      <c r="G5" s="12"/>
    </row>
    <row r="6" ht="22.5" customHeight="1">
      <c r="A6" s="10" t="s">
        <v>15</v>
      </c>
      <c r="B6" s="10" t="s">
        <v>17</v>
      </c>
      <c r="C6" s="11">
        <f>sumifs(payments!D:D, payments!B:B, A6, payments!C:C, B6)</f>
        <v>47</v>
      </c>
      <c r="D6" s="11">
        <f>COUNTIFS(visitsform!C:C, B6, visitsform!D:D, "проведено", visitsform!F:F, A6)</f>
        <v>47</v>
      </c>
      <c r="E6" s="11">
        <f t="shared" si="1"/>
        <v>0</v>
      </c>
      <c r="F6" s="8">
        <v>400.0</v>
      </c>
      <c r="G6" s="12"/>
    </row>
    <row r="7" ht="22.5" customHeight="1">
      <c r="A7" s="13"/>
      <c r="B7" s="13"/>
      <c r="C7" s="11">
        <f>sumifs(payments!D:D, payments!B:B, A7, payments!C:C, B7)</f>
        <v>0</v>
      </c>
      <c r="D7" s="11">
        <f>COUNTIFS(visitsform!C:C, B7, visitsform!D:D, "проведено", visitsform!F:F, A7)</f>
        <v>0</v>
      </c>
      <c r="E7" s="11">
        <f t="shared" si="1"/>
        <v>0</v>
      </c>
      <c r="F7" s="14"/>
      <c r="G7" s="12"/>
    </row>
    <row r="8" ht="22.5" customHeight="1">
      <c r="A8" s="13"/>
      <c r="B8" s="13"/>
      <c r="C8" s="11">
        <f>sumifs(payments!D:D, payments!B:B, A8, payments!C:C, B8)</f>
        <v>0</v>
      </c>
      <c r="D8" s="11">
        <f>COUNTIFS(visitsform!C:C, B8, visitsform!D:D, "проведено", visitsform!F:F, A8)</f>
        <v>0</v>
      </c>
      <c r="E8" s="11">
        <f t="shared" si="1"/>
        <v>0</v>
      </c>
      <c r="F8" s="14"/>
      <c r="G8" s="12"/>
    </row>
    <row r="9" ht="22.5" customHeight="1">
      <c r="A9" s="13"/>
      <c r="B9" s="13"/>
      <c r="C9" s="11">
        <f>sumifs(payments!D:D, payments!B:B, A9, payments!C:C, B9)</f>
        <v>0</v>
      </c>
      <c r="D9" s="11">
        <f>COUNTIFS(visitsform!C:C, B9, visitsform!D:D, "проведено", visitsform!F:F, A9)</f>
        <v>0</v>
      </c>
      <c r="E9" s="11">
        <f t="shared" si="1"/>
        <v>0</v>
      </c>
      <c r="F9" s="14"/>
      <c r="G9" s="12"/>
    </row>
    <row r="10" ht="22.5" customHeight="1">
      <c r="A10" s="13"/>
      <c r="B10" s="13"/>
      <c r="C10" s="11">
        <f>sumifs(payments!D:D, payments!B:B, A10, payments!C:C, B10)</f>
        <v>0</v>
      </c>
      <c r="D10" s="11">
        <f>COUNTIFS(visitsform!C:C, B10, visitsform!D:D, "проведено", visitsform!F:F, A10)</f>
        <v>0</v>
      </c>
      <c r="E10" s="11">
        <f t="shared" si="1"/>
        <v>0</v>
      </c>
      <c r="F10" s="14"/>
      <c r="G10" s="12"/>
    </row>
    <row r="11" ht="22.5" customHeight="1">
      <c r="A11" s="13"/>
      <c r="B11" s="13"/>
      <c r="C11" s="11">
        <f>sumifs(payments!D:D, payments!B:B, A11, payments!C:C, B11)</f>
        <v>0</v>
      </c>
      <c r="D11" s="11">
        <f>COUNTIFS(visitsform!C:C, B11, visitsform!D:D, "проведено", visitsform!F:F, A11)</f>
        <v>0</v>
      </c>
      <c r="E11" s="11">
        <f t="shared" si="1"/>
        <v>0</v>
      </c>
      <c r="F11" s="14"/>
      <c r="G11" s="12"/>
    </row>
    <row r="12" ht="22.5" customHeight="1">
      <c r="A12" s="13"/>
      <c r="B12" s="13"/>
      <c r="C12" s="11">
        <f>sumifs(payments!D:D, payments!B:B, A12, payments!C:C, B12)</f>
        <v>0</v>
      </c>
      <c r="D12" s="11">
        <f>COUNTIFS(visitsform!C:C, B12, visitsform!D:D, "проведено", visitsform!F:F, A12)</f>
        <v>0</v>
      </c>
      <c r="E12" s="11">
        <f t="shared" si="1"/>
        <v>0</v>
      </c>
      <c r="F12" s="14"/>
      <c r="G12" s="12"/>
    </row>
    <row r="13" ht="22.5" customHeight="1">
      <c r="A13" s="13"/>
      <c r="B13" s="13"/>
      <c r="C13" s="11">
        <f>sumifs(payments!D:D, payments!B:B, A13, payments!C:C, B13)</f>
        <v>0</v>
      </c>
      <c r="D13" s="11">
        <f>COUNTIFS(visitsform!C:C, B13, visitsform!D:D, "проведено", visitsform!F:F, A13)</f>
        <v>0</v>
      </c>
      <c r="E13" s="11">
        <f t="shared" si="1"/>
        <v>0</v>
      </c>
      <c r="F13" s="14"/>
      <c r="G13" s="12"/>
    </row>
    <row r="14" ht="22.5" customHeight="1">
      <c r="A14" s="13"/>
      <c r="B14" s="13"/>
      <c r="C14" s="11">
        <f>sumifs(payments!D:D, payments!B:B, A14, payments!C:C, B14)</f>
        <v>0</v>
      </c>
      <c r="D14" s="11">
        <f>COUNTIFS(visitsform!C:C, B14, visitsform!D:D, "проведено", visitsform!F:F, A14)</f>
        <v>0</v>
      </c>
      <c r="E14" s="11">
        <f t="shared" si="1"/>
        <v>0</v>
      </c>
      <c r="F14" s="14"/>
      <c r="G14" s="12"/>
    </row>
    <row r="15" ht="22.5" customHeight="1">
      <c r="A15" s="13"/>
      <c r="B15" s="13"/>
      <c r="C15" s="11">
        <f>sumifs(payments!D:D, payments!B:B, A15, payments!C:C, B15)</f>
        <v>0</v>
      </c>
      <c r="D15" s="11">
        <f>COUNTIFS(visitsform!C:C, B15, visitsform!D:D, "проведено", visitsform!F:F, A15)</f>
        <v>0</v>
      </c>
      <c r="E15" s="11">
        <f t="shared" si="1"/>
        <v>0</v>
      </c>
      <c r="F15" s="14"/>
      <c r="G15" s="12"/>
    </row>
  </sheetData>
  <conditionalFormatting sqref="E1:E15">
    <cfRule type="cellIs" dxfId="7" priority="1" operator="greaterThan">
      <formula>0</formula>
    </cfRule>
  </conditionalFormatting>
  <dataValidations>
    <dataValidation type="list" allowBlank="1" sqref="A2:A15">
      <formula1>#REF!</formula1>
    </dataValidation>
    <dataValidation type="list" allowBlank="1" sqref="B2:B15">
      <formula1>#REF!</formula1>
    </dataValidation>
    <dataValidation type="custom" allowBlank="1" showDropDown="1" sqref="C2:E15 G2:G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4.75"/>
    <col customWidth="1" min="5" max="5" width="22.63"/>
    <col customWidth="1" min="6" max="6" width="45.25"/>
    <col customWidth="1" min="7" max="7" width="22.63"/>
  </cols>
  <sheetData>
    <row r="1" ht="22.5" customHeight="1">
      <c r="A1" s="9" t="s">
        <v>1</v>
      </c>
      <c r="B1" s="9" t="s">
        <v>5</v>
      </c>
      <c r="C1" s="9" t="s">
        <v>2</v>
      </c>
      <c r="D1" s="9" t="s">
        <v>34</v>
      </c>
      <c r="E1" s="9" t="s">
        <v>35</v>
      </c>
      <c r="F1" s="9" t="s">
        <v>4</v>
      </c>
      <c r="H1" s="15" t="s">
        <v>35</v>
      </c>
    </row>
    <row r="2" ht="22.5" customHeight="1">
      <c r="A2" s="16">
        <v>45988.0</v>
      </c>
      <c r="B2" s="10" t="s">
        <v>8</v>
      </c>
      <c r="C2" s="10" t="s">
        <v>9</v>
      </c>
      <c r="D2" s="11">
        <v>3.0</v>
      </c>
      <c r="E2" s="11">
        <v>900.0</v>
      </c>
      <c r="F2" s="14"/>
      <c r="H2" s="17">
        <f>sum(E:E)</f>
        <v>72000</v>
      </c>
    </row>
    <row r="3" ht="22.5" customHeight="1">
      <c r="A3" s="16">
        <v>45988.0</v>
      </c>
      <c r="B3" s="10" t="s">
        <v>8</v>
      </c>
      <c r="C3" s="10" t="s">
        <v>6</v>
      </c>
      <c r="D3" s="11">
        <v>16.0</v>
      </c>
      <c r="E3" s="11">
        <v>2400.0</v>
      </c>
      <c r="F3" s="14"/>
    </row>
    <row r="4" ht="22.5" customHeight="1">
      <c r="A4" s="16">
        <v>46000.0</v>
      </c>
      <c r="B4" s="10" t="s">
        <v>8</v>
      </c>
      <c r="C4" s="10" t="s">
        <v>9</v>
      </c>
      <c r="D4" s="11">
        <v>4.0</v>
      </c>
      <c r="E4" s="11">
        <v>1200.0</v>
      </c>
      <c r="F4" s="14"/>
    </row>
    <row r="5" ht="22.5" customHeight="1">
      <c r="A5" s="16">
        <v>46014.0</v>
      </c>
      <c r="B5" s="10" t="s">
        <v>8</v>
      </c>
      <c r="C5" s="10" t="s">
        <v>9</v>
      </c>
      <c r="D5" s="11">
        <v>4.0</v>
      </c>
      <c r="E5" s="11">
        <v>1200.0</v>
      </c>
      <c r="F5" s="14"/>
    </row>
    <row r="6" ht="22.5" customHeight="1">
      <c r="A6" s="16">
        <v>46014.0</v>
      </c>
      <c r="B6" s="10" t="s">
        <v>15</v>
      </c>
      <c r="C6" s="10" t="s">
        <v>14</v>
      </c>
      <c r="D6" s="11">
        <v>1.0</v>
      </c>
      <c r="E6" s="11">
        <v>550.0</v>
      </c>
      <c r="F6" s="14"/>
    </row>
    <row r="7" ht="22.5" customHeight="1">
      <c r="A7" s="16">
        <v>46007.0</v>
      </c>
      <c r="B7" s="10" t="s">
        <v>15</v>
      </c>
      <c r="C7" s="10" t="s">
        <v>14</v>
      </c>
      <c r="D7" s="11">
        <v>1.0</v>
      </c>
      <c r="E7" s="11">
        <v>550.0</v>
      </c>
      <c r="F7" s="14"/>
    </row>
    <row r="8" ht="22.5" customHeight="1">
      <c r="A8" s="16">
        <v>46002.0</v>
      </c>
      <c r="B8" s="10" t="s">
        <v>15</v>
      </c>
      <c r="C8" s="10" t="s">
        <v>14</v>
      </c>
      <c r="D8" s="11">
        <v>2.0</v>
      </c>
      <c r="E8" s="11">
        <v>1100.0</v>
      </c>
      <c r="F8" s="14"/>
    </row>
    <row r="9" ht="22.5" customHeight="1">
      <c r="A9" s="16">
        <v>45995.0</v>
      </c>
      <c r="B9" s="10" t="s">
        <v>15</v>
      </c>
      <c r="C9" s="10" t="s">
        <v>14</v>
      </c>
      <c r="D9" s="11">
        <v>1.0</v>
      </c>
      <c r="E9" s="11">
        <v>550.0</v>
      </c>
      <c r="F9" s="14"/>
    </row>
    <row r="10" ht="22.5" customHeight="1">
      <c r="A10" s="16">
        <v>45988.0</v>
      </c>
      <c r="B10" s="10" t="s">
        <v>15</v>
      </c>
      <c r="C10" s="10" t="s">
        <v>14</v>
      </c>
      <c r="D10" s="11">
        <v>1.0</v>
      </c>
      <c r="E10" s="11">
        <v>550.0</v>
      </c>
      <c r="F10" s="14"/>
    </row>
    <row r="11" ht="22.5" customHeight="1">
      <c r="A11" s="16">
        <v>45992.0</v>
      </c>
      <c r="B11" s="10" t="s">
        <v>15</v>
      </c>
      <c r="C11" s="10" t="s">
        <v>16</v>
      </c>
      <c r="D11" s="11">
        <v>3.0</v>
      </c>
      <c r="E11" s="11">
        <v>4200.0</v>
      </c>
      <c r="F11" s="14"/>
    </row>
    <row r="12" ht="22.5" customHeight="1">
      <c r="A12" s="16">
        <v>45992.0</v>
      </c>
      <c r="B12" s="10" t="s">
        <v>15</v>
      </c>
      <c r="C12" s="10" t="s">
        <v>17</v>
      </c>
      <c r="D12" s="11">
        <v>9.0</v>
      </c>
      <c r="E12" s="11">
        <v>3600.0</v>
      </c>
      <c r="F12" s="14"/>
    </row>
    <row r="13" ht="22.5" customHeight="1">
      <c r="A13" s="16">
        <v>46016.0</v>
      </c>
      <c r="B13" s="10" t="s">
        <v>15</v>
      </c>
      <c r="C13" s="10" t="s">
        <v>16</v>
      </c>
      <c r="D13" s="11">
        <v>1.0</v>
      </c>
      <c r="E13" s="11">
        <v>1400.0</v>
      </c>
      <c r="F13" s="14"/>
    </row>
    <row r="14" ht="22.5" customHeight="1">
      <c r="A14" s="16">
        <v>46016.0</v>
      </c>
      <c r="B14" s="10" t="s">
        <v>15</v>
      </c>
      <c r="C14" s="10" t="s">
        <v>14</v>
      </c>
      <c r="D14" s="11">
        <v>1.0</v>
      </c>
      <c r="E14" s="11">
        <v>550.0</v>
      </c>
      <c r="F14" s="14"/>
    </row>
    <row r="15" ht="22.5" customHeight="1">
      <c r="A15" s="16">
        <v>46021.0</v>
      </c>
      <c r="B15" s="10" t="s">
        <v>15</v>
      </c>
      <c r="C15" s="10" t="s">
        <v>14</v>
      </c>
      <c r="D15" s="11">
        <v>1.0</v>
      </c>
      <c r="E15" s="11">
        <v>550.0</v>
      </c>
      <c r="F15" s="14"/>
    </row>
    <row r="16" ht="22.5" customHeight="1">
      <c r="A16" s="16">
        <v>46023.0</v>
      </c>
      <c r="B16" s="10" t="s">
        <v>15</v>
      </c>
      <c r="C16" s="10" t="s">
        <v>16</v>
      </c>
      <c r="D16" s="11">
        <v>1.0</v>
      </c>
      <c r="E16" s="11">
        <v>1400.0</v>
      </c>
      <c r="F16" s="14"/>
    </row>
    <row r="17" ht="22.5" customHeight="1">
      <c r="A17" s="16">
        <v>46024.0</v>
      </c>
      <c r="B17" s="10" t="s">
        <v>15</v>
      </c>
      <c r="C17" s="10" t="s">
        <v>14</v>
      </c>
      <c r="D17" s="11">
        <v>1.0</v>
      </c>
      <c r="E17" s="11">
        <v>550.0</v>
      </c>
      <c r="F17" s="14"/>
    </row>
    <row r="18" ht="22.5" customHeight="1">
      <c r="A18" s="16">
        <v>46028.0</v>
      </c>
      <c r="B18" s="10" t="s">
        <v>15</v>
      </c>
      <c r="C18" s="10" t="s">
        <v>14</v>
      </c>
      <c r="D18" s="11">
        <v>1.0</v>
      </c>
      <c r="E18" s="11">
        <v>550.0</v>
      </c>
      <c r="F18" s="14"/>
    </row>
    <row r="19" ht="22.5" customHeight="1">
      <c r="A19" s="16">
        <v>46029.0</v>
      </c>
      <c r="B19" s="10" t="s">
        <v>15</v>
      </c>
      <c r="C19" s="10" t="s">
        <v>16</v>
      </c>
      <c r="D19" s="11">
        <v>1.0</v>
      </c>
      <c r="E19" s="11">
        <v>1400.0</v>
      </c>
      <c r="F19" s="14"/>
    </row>
    <row r="20" ht="22.5" customHeight="1">
      <c r="A20" s="16">
        <v>46030.0</v>
      </c>
      <c r="B20" s="10" t="s">
        <v>8</v>
      </c>
      <c r="C20" s="10" t="s">
        <v>9</v>
      </c>
      <c r="D20" s="11">
        <v>4.0</v>
      </c>
      <c r="E20" s="11">
        <v>1200.0</v>
      </c>
      <c r="F20" s="14"/>
    </row>
    <row r="21" ht="22.5" customHeight="1">
      <c r="A21" s="16">
        <v>46034.0</v>
      </c>
      <c r="B21" s="10" t="s">
        <v>15</v>
      </c>
      <c r="C21" s="10" t="s">
        <v>17</v>
      </c>
      <c r="D21" s="11">
        <v>5.0</v>
      </c>
      <c r="E21" s="11">
        <v>2000.0</v>
      </c>
      <c r="F21" s="14"/>
    </row>
    <row r="22" ht="22.5" customHeight="1">
      <c r="A22" s="16">
        <v>46034.0</v>
      </c>
      <c r="B22" s="10" t="s">
        <v>15</v>
      </c>
      <c r="C22" s="10" t="s">
        <v>16</v>
      </c>
      <c r="D22" s="11">
        <v>1.0</v>
      </c>
      <c r="E22" s="11">
        <v>1400.0</v>
      </c>
      <c r="F22" s="14"/>
    </row>
    <row r="23" ht="22.5" customHeight="1">
      <c r="A23" s="16">
        <v>46035.0</v>
      </c>
      <c r="B23" s="10" t="s">
        <v>15</v>
      </c>
      <c r="C23" s="10" t="s">
        <v>14</v>
      </c>
      <c r="D23" s="11">
        <v>1.0</v>
      </c>
      <c r="E23" s="11">
        <v>550.0</v>
      </c>
      <c r="F23" s="14"/>
    </row>
    <row r="24" ht="22.5" customHeight="1">
      <c r="A24" s="16">
        <v>46037.0</v>
      </c>
      <c r="B24" s="10" t="s">
        <v>15</v>
      </c>
      <c r="C24" s="10" t="s">
        <v>14</v>
      </c>
      <c r="D24" s="11">
        <v>1.0</v>
      </c>
      <c r="E24" s="11">
        <v>550.0</v>
      </c>
      <c r="F24" s="14"/>
    </row>
    <row r="25" ht="22.5" customHeight="1">
      <c r="A25" s="16">
        <v>46037.0</v>
      </c>
      <c r="B25" s="10" t="s">
        <v>8</v>
      </c>
      <c r="C25" s="10" t="s">
        <v>6</v>
      </c>
      <c r="D25" s="11">
        <v>16.0</v>
      </c>
      <c r="E25" s="11">
        <v>2400.0</v>
      </c>
      <c r="F25" s="14"/>
    </row>
    <row r="26" ht="22.5" customHeight="1">
      <c r="A26" s="16">
        <v>46042.0</v>
      </c>
      <c r="B26" s="10" t="s">
        <v>15</v>
      </c>
      <c r="C26" s="10" t="s">
        <v>16</v>
      </c>
      <c r="D26" s="11">
        <v>1.0</v>
      </c>
      <c r="E26" s="11">
        <v>1400.0</v>
      </c>
      <c r="F26" s="14"/>
    </row>
    <row r="27" ht="22.5" customHeight="1">
      <c r="A27" s="16">
        <v>46042.0</v>
      </c>
      <c r="B27" s="10" t="s">
        <v>15</v>
      </c>
      <c r="C27" s="10" t="s">
        <v>14</v>
      </c>
      <c r="D27" s="11">
        <v>1.0</v>
      </c>
      <c r="E27" s="11">
        <v>550.0</v>
      </c>
      <c r="F27" s="14"/>
    </row>
    <row r="28" ht="22.5" customHeight="1">
      <c r="A28" s="16">
        <v>46044.0</v>
      </c>
      <c r="B28" s="10" t="s">
        <v>15</v>
      </c>
      <c r="C28" s="10" t="s">
        <v>14</v>
      </c>
      <c r="D28" s="11">
        <v>1.0</v>
      </c>
      <c r="E28" s="11">
        <v>550.0</v>
      </c>
      <c r="F28" s="14"/>
    </row>
    <row r="29" ht="22.5" customHeight="1">
      <c r="A29" s="16">
        <v>46049.0</v>
      </c>
      <c r="B29" s="10" t="s">
        <v>15</v>
      </c>
      <c r="C29" s="10" t="s">
        <v>14</v>
      </c>
      <c r="D29" s="11">
        <v>1.0</v>
      </c>
      <c r="E29" s="11">
        <v>550.0</v>
      </c>
      <c r="F29" s="14"/>
    </row>
    <row r="30" ht="22.5" customHeight="1">
      <c r="A30" s="16">
        <v>46049.0</v>
      </c>
      <c r="B30" s="10" t="s">
        <v>15</v>
      </c>
      <c r="C30" s="10" t="s">
        <v>16</v>
      </c>
      <c r="D30" s="11">
        <v>1.0</v>
      </c>
      <c r="E30" s="11">
        <v>1400.0</v>
      </c>
      <c r="F30" s="14"/>
    </row>
    <row r="31" ht="22.5" customHeight="1">
      <c r="A31" s="16">
        <v>46044.0</v>
      </c>
      <c r="B31" s="10" t="s">
        <v>8</v>
      </c>
      <c r="C31" s="10" t="s">
        <v>9</v>
      </c>
      <c r="D31" s="11">
        <v>4.0</v>
      </c>
      <c r="E31" s="11">
        <v>1200.0</v>
      </c>
      <c r="F31" s="14"/>
    </row>
    <row r="32" ht="22.5" customHeight="1">
      <c r="A32" s="16">
        <v>46051.0</v>
      </c>
      <c r="B32" s="10" t="s">
        <v>15</v>
      </c>
      <c r="C32" s="10" t="s">
        <v>14</v>
      </c>
      <c r="D32" s="11">
        <v>1.0</v>
      </c>
      <c r="E32" s="11">
        <v>550.0</v>
      </c>
      <c r="F32" s="14"/>
    </row>
    <row r="33" ht="22.5" customHeight="1">
      <c r="A33" s="16">
        <v>46054.0</v>
      </c>
      <c r="B33" s="10" t="s">
        <v>15</v>
      </c>
      <c r="C33" s="10" t="s">
        <v>17</v>
      </c>
      <c r="D33" s="11">
        <v>8.0</v>
      </c>
      <c r="E33" s="11">
        <v>3200.0</v>
      </c>
      <c r="F33" s="14"/>
    </row>
    <row r="34" ht="22.5" customHeight="1">
      <c r="A34" s="16">
        <v>46058.0</v>
      </c>
      <c r="B34" s="10" t="s">
        <v>8</v>
      </c>
      <c r="C34" s="10" t="s">
        <v>9</v>
      </c>
      <c r="D34" s="11">
        <v>5.0</v>
      </c>
      <c r="E34" s="11">
        <v>1500.0</v>
      </c>
      <c r="F34" s="14"/>
    </row>
    <row r="35" ht="22.5" customHeight="1">
      <c r="A35" s="16">
        <v>46058.0</v>
      </c>
      <c r="B35" s="10" t="s">
        <v>15</v>
      </c>
      <c r="C35" s="10" t="s">
        <v>16</v>
      </c>
      <c r="D35" s="11">
        <v>1.0</v>
      </c>
      <c r="E35" s="11">
        <v>1400.0</v>
      </c>
      <c r="F35" s="14"/>
    </row>
    <row r="36" ht="22.5" customHeight="1">
      <c r="A36" s="16">
        <v>46063.0</v>
      </c>
      <c r="B36" s="10" t="s">
        <v>15</v>
      </c>
      <c r="C36" s="10" t="s">
        <v>14</v>
      </c>
      <c r="D36" s="11">
        <v>1.0</v>
      </c>
      <c r="E36" s="11">
        <v>550.0</v>
      </c>
      <c r="F36" s="14"/>
    </row>
    <row r="37" ht="22.5" customHeight="1">
      <c r="A37" s="16">
        <v>46066.0</v>
      </c>
      <c r="B37" s="10" t="s">
        <v>15</v>
      </c>
      <c r="C37" s="10" t="s">
        <v>14</v>
      </c>
      <c r="D37" s="11">
        <v>1.0</v>
      </c>
      <c r="E37" s="11">
        <v>550.0</v>
      </c>
      <c r="F37" s="14"/>
    </row>
    <row r="38" ht="22.5" customHeight="1">
      <c r="A38" s="16">
        <v>46066.0</v>
      </c>
      <c r="B38" s="10" t="s">
        <v>15</v>
      </c>
      <c r="C38" s="10" t="s">
        <v>16</v>
      </c>
      <c r="D38" s="11">
        <v>1.0</v>
      </c>
      <c r="E38" s="11">
        <v>1400.0</v>
      </c>
      <c r="F38" s="14"/>
    </row>
    <row r="39" ht="22.5" customHeight="1">
      <c r="A39" s="16">
        <v>46070.0</v>
      </c>
      <c r="B39" s="10" t="s">
        <v>15</v>
      </c>
      <c r="C39" s="10" t="s">
        <v>14</v>
      </c>
      <c r="D39" s="11">
        <v>1.0</v>
      </c>
      <c r="E39" s="11">
        <v>550.0</v>
      </c>
      <c r="F39" s="14"/>
    </row>
    <row r="40" ht="22.5" customHeight="1">
      <c r="A40" s="16">
        <v>46072.0</v>
      </c>
      <c r="B40" s="10" t="s">
        <v>15</v>
      </c>
      <c r="C40" s="10" t="s">
        <v>14</v>
      </c>
      <c r="D40" s="11">
        <v>1.0</v>
      </c>
      <c r="E40" s="11">
        <v>550.0</v>
      </c>
      <c r="F40" s="14"/>
    </row>
    <row r="41" ht="22.5" customHeight="1">
      <c r="A41" s="16">
        <v>46073.0</v>
      </c>
      <c r="B41" s="10" t="s">
        <v>15</v>
      </c>
      <c r="C41" s="10" t="s">
        <v>16</v>
      </c>
      <c r="D41" s="11">
        <v>1.0</v>
      </c>
      <c r="E41" s="11">
        <v>1400.0</v>
      </c>
      <c r="F41" s="14"/>
    </row>
    <row r="42" ht="22.5" customHeight="1">
      <c r="A42" s="16">
        <v>46084.0</v>
      </c>
      <c r="B42" s="10" t="s">
        <v>8</v>
      </c>
      <c r="C42" s="10" t="s">
        <v>6</v>
      </c>
      <c r="D42" s="11">
        <v>16.0</v>
      </c>
      <c r="E42" s="11">
        <v>2400.0</v>
      </c>
      <c r="F42" s="14"/>
    </row>
    <row r="43" ht="22.5" customHeight="1">
      <c r="A43" s="16">
        <v>46077.0</v>
      </c>
      <c r="B43" s="10" t="s">
        <v>8</v>
      </c>
      <c r="C43" s="10" t="s">
        <v>9</v>
      </c>
      <c r="D43" s="11">
        <v>4.0</v>
      </c>
      <c r="E43" s="11">
        <v>1200.0</v>
      </c>
      <c r="F43" s="14"/>
    </row>
    <row r="44" ht="22.5" customHeight="1">
      <c r="A44" s="16">
        <v>46090.0</v>
      </c>
      <c r="B44" s="10" t="s">
        <v>8</v>
      </c>
      <c r="C44" s="10" t="s">
        <v>9</v>
      </c>
      <c r="D44" s="11">
        <v>4.0</v>
      </c>
      <c r="E44" s="11">
        <v>1200.0</v>
      </c>
      <c r="F44" s="14"/>
    </row>
    <row r="45" ht="22.5" customHeight="1">
      <c r="A45" s="16">
        <v>46083.0</v>
      </c>
      <c r="B45" s="10" t="s">
        <v>15</v>
      </c>
      <c r="C45" s="10" t="s">
        <v>17</v>
      </c>
      <c r="D45" s="11">
        <v>9.0</v>
      </c>
      <c r="E45" s="11">
        <v>3600.0</v>
      </c>
      <c r="F45" s="14"/>
    </row>
    <row r="46" ht="22.5" customHeight="1">
      <c r="A46" s="16">
        <v>46112.0</v>
      </c>
      <c r="B46" s="10" t="s">
        <v>8</v>
      </c>
      <c r="C46" s="10" t="s">
        <v>9</v>
      </c>
      <c r="D46" s="11">
        <v>4.0</v>
      </c>
      <c r="E46" s="11">
        <v>1200.0</v>
      </c>
      <c r="F46" s="14"/>
    </row>
    <row r="47" ht="22.5" customHeight="1">
      <c r="A47" s="16">
        <v>46114.0</v>
      </c>
      <c r="B47" s="10" t="s">
        <v>8</v>
      </c>
      <c r="C47" s="10" t="s">
        <v>6</v>
      </c>
      <c r="D47" s="11">
        <v>8.0</v>
      </c>
      <c r="E47" s="11">
        <v>1200.0</v>
      </c>
      <c r="F47" s="14"/>
    </row>
    <row r="48" ht="22.5" customHeight="1">
      <c r="A48" s="16">
        <v>46115.0</v>
      </c>
      <c r="B48" s="10" t="s">
        <v>15</v>
      </c>
      <c r="C48" s="10" t="s">
        <v>17</v>
      </c>
      <c r="D48" s="11">
        <v>8.0</v>
      </c>
      <c r="E48" s="11">
        <v>3200.0</v>
      </c>
      <c r="F48" s="14"/>
    </row>
    <row r="49" ht="22.5" customHeight="1">
      <c r="A49" s="16">
        <v>46126.0</v>
      </c>
      <c r="B49" s="10" t="s">
        <v>8</v>
      </c>
      <c r="C49" s="10" t="s">
        <v>9</v>
      </c>
      <c r="D49" s="11">
        <v>4.0</v>
      </c>
      <c r="E49" s="11">
        <v>1200.0</v>
      </c>
      <c r="F49" s="14"/>
    </row>
    <row r="50" ht="22.5" customHeight="1">
      <c r="A50" s="16">
        <v>46133.0</v>
      </c>
      <c r="B50" s="10" t="s">
        <v>8</v>
      </c>
      <c r="C50" s="10" t="s">
        <v>6</v>
      </c>
      <c r="D50" s="11">
        <v>8.0</v>
      </c>
      <c r="E50" s="11">
        <v>1200.0</v>
      </c>
      <c r="F50" s="14"/>
    </row>
    <row r="51" ht="22.5" customHeight="1">
      <c r="A51" s="16">
        <v>46140.0</v>
      </c>
      <c r="B51" s="10" t="s">
        <v>8</v>
      </c>
      <c r="C51" s="10" t="s">
        <v>9</v>
      </c>
      <c r="D51" s="11">
        <v>4.0</v>
      </c>
      <c r="E51" s="11">
        <v>1200.0</v>
      </c>
      <c r="F51" s="14"/>
    </row>
    <row r="52" ht="22.5" customHeight="1">
      <c r="A52" s="16">
        <v>46143.0</v>
      </c>
      <c r="B52" s="10" t="s">
        <v>15</v>
      </c>
      <c r="C52" s="10" t="s">
        <v>17</v>
      </c>
      <c r="D52" s="11">
        <v>8.0</v>
      </c>
      <c r="E52" s="11">
        <v>3200.0</v>
      </c>
      <c r="F52" s="14"/>
    </row>
    <row r="53" ht="22.5" customHeight="1">
      <c r="A53" s="16">
        <v>46154.0</v>
      </c>
      <c r="B53" s="10" t="s">
        <v>8</v>
      </c>
      <c r="C53" s="10" t="s">
        <v>9</v>
      </c>
      <c r="D53" s="11">
        <v>4.0</v>
      </c>
      <c r="E53" s="11">
        <v>1400.0</v>
      </c>
      <c r="F53" s="14"/>
    </row>
    <row r="54" ht="22.5" customHeight="1">
      <c r="A54" s="16">
        <v>46151.0</v>
      </c>
      <c r="B54" s="10" t="s">
        <v>8</v>
      </c>
      <c r="C54" s="10" t="s">
        <v>6</v>
      </c>
      <c r="D54" s="11">
        <v>8.0</v>
      </c>
      <c r="E54" s="11">
        <v>1200.0</v>
      </c>
      <c r="F54" s="14"/>
    </row>
    <row r="55" ht="22.5" customHeight="1">
      <c r="A55" s="18"/>
      <c r="B55" s="10"/>
      <c r="C55" s="10"/>
      <c r="D55" s="11"/>
      <c r="E55" s="11"/>
      <c r="F55" s="14"/>
    </row>
    <row r="56" ht="22.5" customHeight="1">
      <c r="A56" s="18"/>
      <c r="B56" s="10"/>
      <c r="C56" s="10"/>
      <c r="D56" s="11"/>
      <c r="E56" s="11"/>
      <c r="F56" s="14"/>
    </row>
    <row r="57" ht="22.5" customHeight="1">
      <c r="A57" s="18"/>
      <c r="B57" s="10"/>
      <c r="C57" s="10"/>
      <c r="D57" s="11"/>
      <c r="E57" s="11"/>
      <c r="F57" s="14"/>
    </row>
    <row r="58" ht="22.5" customHeight="1">
      <c r="A58" s="18"/>
      <c r="B58" s="10"/>
      <c r="C58" s="10"/>
      <c r="D58" s="11"/>
      <c r="E58" s="11"/>
      <c r="F58" s="14"/>
    </row>
    <row r="59" ht="22.5" customHeight="1">
      <c r="A59" s="18"/>
      <c r="B59" s="10"/>
      <c r="C59" s="10"/>
      <c r="D59" s="11"/>
      <c r="E59" s="11"/>
      <c r="F59" s="14"/>
    </row>
    <row r="60" ht="22.5" customHeight="1">
      <c r="A60" s="18"/>
      <c r="B60" s="10"/>
      <c r="C60" s="10"/>
      <c r="D60" s="11"/>
      <c r="E60" s="11"/>
      <c r="F60" s="14"/>
    </row>
    <row r="61" ht="22.5" customHeight="1">
      <c r="A61" s="18"/>
      <c r="B61" s="10"/>
      <c r="C61" s="10"/>
      <c r="D61" s="11"/>
      <c r="E61" s="11"/>
      <c r="F61" s="14"/>
    </row>
    <row r="62" ht="22.5" customHeight="1">
      <c r="A62" s="18"/>
      <c r="B62" s="10"/>
      <c r="C62" s="10"/>
      <c r="D62" s="11"/>
      <c r="E62" s="11"/>
      <c r="F62" s="14"/>
    </row>
    <row r="63" ht="22.5" customHeight="1">
      <c r="A63" s="18"/>
      <c r="B63" s="10"/>
      <c r="C63" s="10"/>
      <c r="D63" s="11"/>
      <c r="E63" s="11"/>
      <c r="F63" s="14"/>
    </row>
    <row r="64" ht="22.5" customHeight="1">
      <c r="A64" s="18"/>
      <c r="B64" s="10"/>
      <c r="C64" s="10"/>
      <c r="D64" s="11"/>
      <c r="E64" s="11"/>
      <c r="F64" s="14"/>
    </row>
    <row r="65" ht="22.5" customHeight="1">
      <c r="A65" s="18"/>
      <c r="B65" s="10"/>
      <c r="C65" s="10"/>
      <c r="D65" s="11"/>
      <c r="E65" s="11"/>
      <c r="F65" s="14"/>
    </row>
    <row r="66" ht="22.5" customHeight="1">
      <c r="A66" s="18"/>
      <c r="B66" s="10"/>
      <c r="C66" s="10"/>
      <c r="D66" s="11"/>
      <c r="E66" s="11"/>
      <c r="F66" s="14"/>
    </row>
    <row r="67" ht="22.5" customHeight="1">
      <c r="A67" s="18"/>
      <c r="B67" s="10"/>
      <c r="C67" s="10"/>
      <c r="D67" s="11"/>
      <c r="E67" s="11"/>
      <c r="F67" s="14"/>
    </row>
    <row r="68" ht="22.5" customHeight="1">
      <c r="A68" s="18"/>
      <c r="B68" s="10"/>
      <c r="C68" s="10"/>
      <c r="D68" s="11"/>
      <c r="E68" s="11"/>
      <c r="F68" s="14"/>
    </row>
    <row r="69" ht="22.5" customHeight="1">
      <c r="A69" s="18"/>
      <c r="B69" s="10"/>
      <c r="C69" s="10"/>
      <c r="D69" s="11"/>
      <c r="E69" s="11"/>
      <c r="F69" s="14"/>
    </row>
    <row r="70" ht="22.5" customHeight="1">
      <c r="A70" s="18"/>
      <c r="B70" s="10"/>
      <c r="C70" s="10"/>
      <c r="D70" s="11"/>
      <c r="E70" s="11"/>
      <c r="F70" s="14"/>
    </row>
    <row r="71" ht="22.5" customHeight="1">
      <c r="A71" s="18"/>
      <c r="B71" s="10"/>
      <c r="C71" s="10"/>
      <c r="D71" s="11"/>
      <c r="E71" s="11"/>
      <c r="F71" s="14"/>
    </row>
    <row r="72" ht="22.5" customHeight="1">
      <c r="A72" s="18"/>
      <c r="B72" s="10"/>
      <c r="C72" s="10"/>
      <c r="D72" s="11"/>
      <c r="E72" s="11"/>
      <c r="F72" s="14"/>
    </row>
    <row r="73" ht="22.5" customHeight="1">
      <c r="A73" s="18"/>
      <c r="B73" s="10"/>
      <c r="C73" s="10"/>
      <c r="D73" s="11"/>
      <c r="E73" s="11"/>
      <c r="F73" s="14"/>
    </row>
    <row r="74" ht="22.5" customHeight="1">
      <c r="A74" s="18"/>
      <c r="B74" s="10"/>
      <c r="C74" s="10"/>
      <c r="D74" s="11"/>
      <c r="E74" s="11"/>
      <c r="F74" s="14"/>
    </row>
    <row r="75" ht="22.5" customHeight="1">
      <c r="A75" s="18"/>
      <c r="B75" s="10"/>
      <c r="C75" s="10"/>
      <c r="D75" s="11"/>
      <c r="E75" s="11"/>
      <c r="F75" s="14"/>
    </row>
    <row r="76" ht="22.5" customHeight="1">
      <c r="A76" s="18"/>
      <c r="B76" s="10"/>
      <c r="C76" s="10"/>
      <c r="D76" s="11"/>
      <c r="E76" s="11"/>
      <c r="F76" s="14"/>
    </row>
    <row r="77" ht="22.5" customHeight="1">
      <c r="A77" s="18"/>
      <c r="B77" s="10"/>
      <c r="C77" s="10"/>
      <c r="D77" s="11"/>
      <c r="E77" s="11"/>
      <c r="F77" s="14"/>
    </row>
    <row r="78" ht="22.5" customHeight="1">
      <c r="A78" s="18"/>
      <c r="B78" s="10"/>
      <c r="C78" s="10"/>
      <c r="D78" s="11"/>
      <c r="E78" s="11"/>
      <c r="F78" s="14"/>
    </row>
    <row r="79" ht="22.5" customHeight="1">
      <c r="A79" s="18"/>
      <c r="B79" s="10"/>
      <c r="C79" s="10"/>
      <c r="D79" s="11"/>
      <c r="E79" s="11"/>
      <c r="F79" s="14"/>
    </row>
    <row r="80" ht="22.5" customHeight="1">
      <c r="A80" s="18"/>
      <c r="B80" s="10"/>
      <c r="C80" s="10"/>
      <c r="D80" s="11"/>
      <c r="E80" s="11"/>
      <c r="F80" s="14"/>
    </row>
    <row r="81" ht="22.5" customHeight="1">
      <c r="A81" s="18"/>
      <c r="B81" s="10"/>
      <c r="C81" s="10"/>
      <c r="D81" s="11"/>
      <c r="E81" s="11"/>
      <c r="F81" s="14"/>
    </row>
    <row r="82" ht="22.5" customHeight="1">
      <c r="A82" s="18"/>
      <c r="B82" s="10"/>
      <c r="C82" s="10"/>
      <c r="D82" s="11"/>
      <c r="E82" s="11"/>
      <c r="F82" s="14"/>
    </row>
    <row r="83" ht="22.5" customHeight="1">
      <c r="A83" s="18"/>
      <c r="B83" s="10"/>
      <c r="C83" s="10"/>
      <c r="D83" s="11"/>
      <c r="E83" s="11"/>
      <c r="F83" s="14"/>
    </row>
    <row r="84" ht="22.5" customHeight="1">
      <c r="A84" s="18"/>
      <c r="B84" s="10"/>
      <c r="C84" s="10"/>
      <c r="D84" s="11"/>
      <c r="E84" s="11"/>
      <c r="F84" s="14"/>
    </row>
    <row r="85" ht="22.5" customHeight="1">
      <c r="A85" s="18"/>
      <c r="B85" s="10"/>
      <c r="C85" s="10"/>
      <c r="D85" s="11"/>
      <c r="E85" s="11"/>
      <c r="F85" s="14"/>
    </row>
    <row r="86" ht="22.5" customHeight="1">
      <c r="A86" s="18"/>
      <c r="B86" s="10"/>
      <c r="C86" s="10"/>
      <c r="D86" s="11"/>
      <c r="E86" s="11"/>
      <c r="F86" s="14"/>
    </row>
    <row r="87" ht="22.5" customHeight="1">
      <c r="A87" s="18"/>
      <c r="B87" s="10"/>
      <c r="C87" s="10"/>
      <c r="D87" s="11"/>
      <c r="E87" s="11"/>
      <c r="F87" s="14"/>
    </row>
    <row r="88" ht="22.5" customHeight="1">
      <c r="A88" s="18"/>
      <c r="B88" s="10"/>
      <c r="C88" s="10"/>
      <c r="D88" s="11"/>
      <c r="E88" s="11"/>
      <c r="F88" s="14"/>
    </row>
    <row r="89" ht="22.5" customHeight="1">
      <c r="A89" s="18"/>
      <c r="B89" s="10"/>
      <c r="C89" s="10"/>
      <c r="D89" s="11"/>
      <c r="E89" s="11"/>
      <c r="F89" s="14"/>
    </row>
    <row r="90" ht="22.5" customHeight="1">
      <c r="A90" s="18"/>
      <c r="B90" s="10"/>
      <c r="C90" s="10"/>
      <c r="D90" s="11"/>
      <c r="E90" s="11"/>
      <c r="F90" s="14"/>
    </row>
    <row r="91" ht="22.5" customHeight="1">
      <c r="A91" s="18"/>
      <c r="B91" s="10"/>
      <c r="C91" s="10"/>
      <c r="D91" s="11"/>
      <c r="E91" s="11"/>
      <c r="F91" s="14"/>
    </row>
    <row r="92" ht="22.5" customHeight="1">
      <c r="A92" s="18"/>
      <c r="B92" s="10"/>
      <c r="C92" s="10"/>
      <c r="D92" s="11"/>
      <c r="E92" s="11"/>
      <c r="F92" s="14"/>
    </row>
    <row r="93" ht="22.5" customHeight="1">
      <c r="A93" s="18"/>
      <c r="B93" s="10"/>
      <c r="C93" s="10"/>
      <c r="D93" s="11"/>
      <c r="E93" s="11"/>
      <c r="F93" s="14"/>
    </row>
    <row r="94" ht="22.5" customHeight="1">
      <c r="A94" s="18"/>
      <c r="B94" s="10"/>
      <c r="C94" s="10"/>
      <c r="D94" s="11"/>
      <c r="E94" s="11"/>
      <c r="F94" s="14"/>
    </row>
    <row r="95" ht="22.5" customHeight="1">
      <c r="A95" s="18"/>
      <c r="B95" s="10"/>
      <c r="C95" s="10"/>
      <c r="D95" s="11"/>
      <c r="E95" s="11"/>
      <c r="F95" s="14"/>
    </row>
    <row r="96" ht="22.5" customHeight="1">
      <c r="A96" s="18"/>
      <c r="B96" s="10"/>
      <c r="C96" s="10"/>
      <c r="D96" s="11"/>
      <c r="E96" s="11"/>
      <c r="F96" s="14"/>
    </row>
    <row r="97" ht="22.5" customHeight="1">
      <c r="A97" s="18"/>
      <c r="B97" s="10"/>
      <c r="C97" s="10"/>
      <c r="D97" s="11"/>
      <c r="E97" s="11"/>
      <c r="F97" s="14"/>
    </row>
    <row r="98" ht="22.5" customHeight="1">
      <c r="A98" s="18"/>
      <c r="B98" s="10"/>
      <c r="C98" s="10"/>
      <c r="D98" s="11"/>
      <c r="E98" s="11"/>
      <c r="F98" s="14"/>
    </row>
    <row r="99" ht="22.5" customHeight="1">
      <c r="A99" s="18"/>
      <c r="B99" s="10"/>
      <c r="C99" s="10"/>
      <c r="D99" s="11"/>
      <c r="E99" s="11"/>
      <c r="F99" s="14"/>
    </row>
    <row r="100" ht="22.5" customHeight="1">
      <c r="A100" s="18"/>
      <c r="B100" s="10"/>
      <c r="C100" s="10"/>
      <c r="D100" s="11"/>
      <c r="E100" s="11"/>
      <c r="F100" s="14"/>
    </row>
    <row r="101" ht="22.5" customHeight="1">
      <c r="A101" s="18"/>
      <c r="B101" s="10"/>
      <c r="C101" s="10"/>
      <c r="D101" s="11"/>
      <c r="E101" s="11"/>
      <c r="F101" s="14"/>
    </row>
    <row r="102" ht="22.5" customHeight="1">
      <c r="A102" s="18"/>
      <c r="B102" s="10"/>
      <c r="C102" s="10"/>
      <c r="D102" s="11"/>
      <c r="E102" s="11"/>
      <c r="F102" s="14"/>
    </row>
    <row r="103" ht="22.5" customHeight="1">
      <c r="A103" s="18"/>
      <c r="B103" s="10"/>
      <c r="C103" s="10"/>
      <c r="D103" s="11"/>
      <c r="E103" s="11"/>
      <c r="F103" s="14"/>
    </row>
    <row r="104" ht="22.5" customHeight="1">
      <c r="A104" s="18"/>
      <c r="B104" s="10"/>
      <c r="C104" s="10"/>
      <c r="D104" s="11"/>
      <c r="E104" s="11"/>
      <c r="F104" s="14"/>
    </row>
    <row r="105" ht="22.5" customHeight="1">
      <c r="A105" s="18"/>
      <c r="B105" s="10"/>
      <c r="C105" s="10"/>
      <c r="D105" s="11"/>
      <c r="E105" s="11"/>
      <c r="F105" s="14"/>
    </row>
    <row r="106" ht="22.5" customHeight="1">
      <c r="A106" s="18"/>
      <c r="B106" s="10"/>
      <c r="C106" s="10"/>
      <c r="D106" s="11"/>
      <c r="E106" s="11"/>
      <c r="F106" s="14"/>
    </row>
    <row r="107" ht="22.5" customHeight="1">
      <c r="A107" s="18"/>
      <c r="B107" s="10"/>
      <c r="C107" s="10"/>
      <c r="D107" s="11"/>
      <c r="E107" s="11"/>
      <c r="F107" s="14"/>
    </row>
    <row r="108" ht="22.5" customHeight="1">
      <c r="A108" s="18"/>
      <c r="B108" s="10"/>
      <c r="C108" s="10"/>
      <c r="D108" s="11"/>
      <c r="E108" s="11"/>
      <c r="F108" s="14"/>
    </row>
    <row r="109" ht="22.5" customHeight="1">
      <c r="A109" s="18"/>
      <c r="B109" s="10"/>
      <c r="C109" s="10"/>
      <c r="D109" s="11"/>
      <c r="E109" s="11"/>
      <c r="F109" s="14"/>
    </row>
    <row r="110" ht="22.5" customHeight="1">
      <c r="A110" s="18"/>
      <c r="B110" s="10"/>
      <c r="C110" s="10"/>
      <c r="D110" s="11"/>
      <c r="E110" s="11"/>
      <c r="F110" s="14"/>
    </row>
    <row r="111" ht="22.5" customHeight="1">
      <c r="A111" s="18"/>
      <c r="B111" s="10"/>
      <c r="C111" s="10"/>
      <c r="D111" s="11"/>
      <c r="E111" s="11"/>
      <c r="F111" s="14"/>
    </row>
    <row r="112" ht="22.5" customHeight="1">
      <c r="A112" s="18"/>
      <c r="B112" s="10"/>
      <c r="C112" s="10"/>
      <c r="D112" s="11"/>
      <c r="E112" s="11"/>
      <c r="F112" s="14"/>
    </row>
    <row r="113" ht="22.5" customHeight="1">
      <c r="A113" s="18"/>
      <c r="B113" s="10"/>
      <c r="C113" s="10"/>
      <c r="D113" s="11"/>
      <c r="E113" s="11"/>
      <c r="F113" s="14"/>
    </row>
    <row r="114" ht="22.5" customHeight="1">
      <c r="A114" s="18"/>
      <c r="B114" s="10"/>
      <c r="C114" s="10"/>
      <c r="D114" s="11"/>
      <c r="E114" s="11"/>
      <c r="F114" s="14"/>
    </row>
    <row r="115" ht="22.5" customHeight="1">
      <c r="A115" s="18"/>
      <c r="B115" s="10"/>
      <c r="C115" s="10"/>
      <c r="D115" s="11"/>
      <c r="E115" s="11"/>
      <c r="F115" s="14"/>
    </row>
  </sheetData>
  <dataValidations>
    <dataValidation type="list" allowBlank="1" sqref="C2:C115">
      <formula1>#REF!</formula1>
    </dataValidation>
    <dataValidation type="list" allowBlank="1" sqref="B2:B115">
      <formula1>#REF!</formula1>
    </dataValidation>
    <dataValidation type="custom" allowBlank="1" showDropDown="1" sqref="A2:A115">
      <formula1>OR(NOT(ISERROR(DATEVALUE(A2))), AND(ISNUMBER(A2), LEFT(CELL("format", A2))="D"))</formula1>
    </dataValidation>
    <dataValidation type="custom" allowBlank="1" showDropDown="1" sqref="D2:E11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</v>
      </c>
      <c r="B1" s="15" t="s">
        <v>15</v>
      </c>
      <c r="C1" s="15" t="s">
        <v>7</v>
      </c>
    </row>
    <row r="2">
      <c r="A2" s="15" t="s">
        <v>9</v>
      </c>
      <c r="B2" s="15" t="s">
        <v>8</v>
      </c>
      <c r="C2" s="15" t="s">
        <v>10</v>
      </c>
    </row>
    <row r="3">
      <c r="A3" s="15" t="s">
        <v>14</v>
      </c>
      <c r="C3" s="15" t="s">
        <v>36</v>
      </c>
    </row>
    <row r="4">
      <c r="A4" s="15" t="s">
        <v>16</v>
      </c>
      <c r="C4" s="15" t="s">
        <v>12</v>
      </c>
    </row>
    <row r="5">
      <c r="A5" s="15" t="s">
        <v>17</v>
      </c>
    </row>
  </sheetData>
  <drawing r:id="rId1"/>
</worksheet>
</file>